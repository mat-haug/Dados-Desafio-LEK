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7403566DC7686CA4/Documentos/"/>
    </mc:Choice>
  </mc:AlternateContent>
  <xr:revisionPtr revIDLastSave="0" documentId="8_{8A728968-083A-4F1B-A2C5-E5D2424BC517}" xr6:coauthVersionLast="47" xr6:coauthVersionMax="47" xr10:uidLastSave="{00000000-0000-0000-0000-000000000000}"/>
  <bookViews>
    <workbookView xWindow="-108" yWindow="-108" windowWidth="23256" windowHeight="12456" xr2:uid="{55D91078-2950-4BC0-8BD0-21307BE0D8F7}"/>
  </bookViews>
  <sheets>
    <sheet name="Base Geral" sheetId="1" r:id="rId1"/>
    <sheet name="Sheet4" sheetId="6" r:id="rId2"/>
    <sheet name="Sheet3" sheetId="5" r:id="rId3"/>
    <sheet name="Market Share" sheetId="4" r:id="rId4"/>
    <sheet name="Sheet2" sheetId="3" r:id="rId5"/>
    <sheet name="Açúcar e Etanol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34" i="1"/>
  <c r="I18" i="1"/>
  <c r="AI8" i="2"/>
  <c r="AI9" i="2"/>
  <c r="AI10" i="2"/>
  <c r="AI11" i="2"/>
  <c r="AI12" i="2"/>
  <c r="AI13" i="2"/>
  <c r="AI14" i="2"/>
  <c r="AI15" i="2"/>
  <c r="AL8" i="2"/>
  <c r="AL9" i="2"/>
  <c r="AL10" i="2"/>
  <c r="AL11" i="2"/>
  <c r="AL12" i="2"/>
  <c r="AL13" i="2"/>
  <c r="AL14" i="2"/>
  <c r="AL15" i="2"/>
  <c r="AJ8" i="2"/>
  <c r="AJ9" i="2"/>
  <c r="AJ10" i="2"/>
  <c r="AJ11" i="2"/>
  <c r="AJ12" i="2"/>
  <c r="AJ13" i="2"/>
  <c r="AJ14" i="2"/>
  <c r="AJ15" i="2"/>
  <c r="AM8" i="2"/>
  <c r="AM9" i="2"/>
  <c r="AM10" i="2"/>
  <c r="AM11" i="2"/>
  <c r="AM12" i="2"/>
  <c r="AM13" i="2"/>
  <c r="AM14" i="2"/>
  <c r="AM15" i="2"/>
  <c r="AK8" i="2"/>
  <c r="AK9" i="2"/>
  <c r="AK10" i="2"/>
  <c r="AK11" i="2"/>
  <c r="AK12" i="2"/>
  <c r="AK13" i="2"/>
  <c r="AK14" i="2"/>
  <c r="AK15" i="2"/>
  <c r="AH8" i="2"/>
  <c r="AH9" i="2"/>
  <c r="AH10" i="2"/>
  <c r="AH11" i="2"/>
  <c r="AH12" i="2"/>
  <c r="AH13" i="2"/>
  <c r="AH14" i="2"/>
  <c r="AH15" i="2"/>
  <c r="H12" i="2"/>
  <c r="H11" i="2"/>
  <c r="H9" i="2"/>
  <c r="H8" i="2"/>
  <c r="F13" i="2"/>
  <c r="G13" i="2"/>
  <c r="H13" i="2"/>
  <c r="F12" i="2"/>
  <c r="G12" i="2"/>
  <c r="F11" i="2"/>
  <c r="G11" i="2"/>
  <c r="F10" i="2"/>
  <c r="G10" i="2"/>
  <c r="H10" i="2"/>
  <c r="G9" i="2"/>
  <c r="F9" i="2"/>
  <c r="G8" i="2"/>
  <c r="F8" i="2"/>
  <c r="F7" i="2"/>
  <c r="G7" i="2"/>
  <c r="H7" i="2"/>
  <c r="F6" i="2"/>
  <c r="G6" i="2"/>
  <c r="H6" i="2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H18" i="1"/>
  <c r="M19" i="1"/>
  <c r="M20" i="1"/>
  <c r="M21" i="1"/>
  <c r="M22" i="1"/>
  <c r="M23" i="1"/>
  <c r="M24" i="1"/>
  <c r="M25" i="1"/>
  <c r="M18" i="1"/>
  <c r="N2" i="1"/>
  <c r="I41" i="1"/>
  <c r="AN9" i="2"/>
  <c r="AN10" i="2"/>
  <c r="AN11" i="2"/>
  <c r="AN12" i="2"/>
  <c r="AN13" i="2"/>
  <c r="AN14" i="2"/>
  <c r="AN15" i="2"/>
  <c r="AN8" i="2"/>
  <c r="AD8" i="2"/>
  <c r="AD9" i="2"/>
  <c r="AD10" i="2"/>
  <c r="AD11" i="2"/>
  <c r="AD12" i="2"/>
  <c r="AD13" i="2"/>
  <c r="AD14" i="2"/>
  <c r="AD15" i="2"/>
  <c r="AE15" i="2"/>
  <c r="AE14" i="2"/>
  <c r="AE13" i="2"/>
  <c r="AE12" i="2"/>
  <c r="AE11" i="2"/>
  <c r="AE10" i="2"/>
  <c r="AE9" i="2"/>
  <c r="AE8" i="2"/>
  <c r="AF15" i="2"/>
  <c r="AF14" i="2"/>
  <c r="AF13" i="2"/>
  <c r="AF12" i="2"/>
  <c r="AF11" i="2"/>
  <c r="AF10" i="2"/>
  <c r="AF9" i="2"/>
  <c r="AF8" i="2"/>
  <c r="AK7" i="1" a="1"/>
  <c r="G41" i="1"/>
  <c r="J35" i="1"/>
  <c r="J36" i="1"/>
  <c r="J37" i="1"/>
  <c r="J38" i="1"/>
  <c r="J39" i="1"/>
  <c r="J40" i="1"/>
  <c r="J34" i="1"/>
  <c r="Y7" i="2"/>
  <c r="Y8" i="2"/>
  <c r="Y9" i="2"/>
  <c r="Y10" i="2"/>
  <c r="Y11" i="2"/>
  <c r="Y12" i="2"/>
  <c r="Y13" i="2"/>
  <c r="Y6" i="2"/>
  <c r="V7" i="2"/>
  <c r="V8" i="2"/>
  <c r="V9" i="2"/>
  <c r="V10" i="2"/>
  <c r="V11" i="2"/>
  <c r="V12" i="2"/>
  <c r="V13" i="2"/>
  <c r="V6" i="2"/>
  <c r="W7" i="2"/>
  <c r="W8" i="2"/>
  <c r="W9" i="2"/>
  <c r="W10" i="2"/>
  <c r="W11" i="2"/>
  <c r="W12" i="2"/>
  <c r="W13" i="2"/>
  <c r="W6" i="2"/>
  <c r="Z7" i="2"/>
  <c r="Z8" i="2"/>
  <c r="Z9" i="2"/>
  <c r="Z10" i="2"/>
  <c r="Z11" i="2"/>
  <c r="Z12" i="2"/>
  <c r="Z13" i="2"/>
  <c r="Z6" i="2"/>
  <c r="X7" i="2"/>
  <c r="X8" i="2"/>
  <c r="X9" i="2"/>
  <c r="X10" i="2"/>
  <c r="X11" i="2"/>
  <c r="X12" i="2"/>
  <c r="X13" i="2"/>
  <c r="N9" i="1"/>
  <c r="X6" i="2"/>
  <c r="P26" i="2"/>
  <c r="P27" i="2"/>
  <c r="P28" i="2"/>
  <c r="P29" i="2"/>
  <c r="P30" i="2"/>
  <c r="P31" i="2"/>
  <c r="P25" i="2"/>
  <c r="N7" i="2"/>
  <c r="N8" i="2"/>
  <c r="N9" i="2"/>
  <c r="N10" i="2"/>
  <c r="N11" i="2"/>
  <c r="N12" i="2"/>
  <c r="N13" i="2"/>
  <c r="N6" i="2"/>
  <c r="E35" i="1"/>
  <c r="E36" i="1"/>
  <c r="E37" i="1"/>
  <c r="E38" i="1"/>
  <c r="E39" i="1"/>
  <c r="E40" i="1"/>
  <c r="E41" i="1"/>
  <c r="E34" i="1"/>
  <c r="U7" i="2"/>
  <c r="U8" i="2"/>
  <c r="U9" i="2"/>
  <c r="U10" i="2"/>
  <c r="U11" i="2"/>
  <c r="U12" i="2"/>
  <c r="U13" i="2"/>
  <c r="K19" i="1"/>
  <c r="K20" i="1"/>
  <c r="K21" i="1"/>
  <c r="K22" i="1"/>
  <c r="K23" i="1"/>
  <c r="K24" i="1"/>
  <c r="K25" i="1"/>
  <c r="K18" i="1"/>
  <c r="J21" i="1"/>
  <c r="J22" i="1"/>
  <c r="J23" i="1"/>
  <c r="J24" i="1"/>
  <c r="J25" i="1"/>
  <c r="J20" i="1"/>
  <c r="J19" i="1"/>
  <c r="J18" i="1"/>
  <c r="U6" i="2"/>
  <c r="Y19" i="1"/>
  <c r="Y20" i="1"/>
  <c r="Y21" i="1"/>
  <c r="Y22" i="1"/>
  <c r="Y23" i="1"/>
  <c r="Y24" i="1"/>
  <c r="Y25" i="1"/>
  <c r="Y18" i="1"/>
  <c r="Q36" i="1"/>
  <c r="N24" i="1"/>
  <c r="N23" i="1"/>
  <c r="N22" i="1"/>
  <c r="N21" i="1"/>
  <c r="N20" i="1"/>
  <c r="N19" i="1"/>
  <c r="N18" i="1"/>
  <c r="N25" i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N34" i="1"/>
  <c r="N35" i="1"/>
  <c r="N36" i="1"/>
  <c r="N37" i="1"/>
  <c r="N38" i="1"/>
  <c r="N39" i="1"/>
  <c r="N40" i="1"/>
  <c r="N4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6" i="1"/>
  <c r="F27" i="1"/>
  <c r="F28" i="1"/>
  <c r="F29" i="1"/>
  <c r="F30" i="1"/>
  <c r="F31" i="1"/>
  <c r="F32" i="1"/>
  <c r="F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6" i="1"/>
  <c r="G27" i="1"/>
  <c r="G28" i="1"/>
  <c r="G29" i="1"/>
  <c r="G30" i="1"/>
  <c r="G31" i="1"/>
  <c r="G32" i="1"/>
  <c r="G33" i="1"/>
  <c r="G2" i="1"/>
  <c r="N26" i="1"/>
  <c r="N3" i="1"/>
  <c r="N4" i="1"/>
  <c r="N5" i="1"/>
  <c r="N6" i="1"/>
  <c r="N7" i="1"/>
  <c r="N8" i="1"/>
  <c r="N10" i="1"/>
  <c r="N11" i="1"/>
  <c r="N12" i="1"/>
  <c r="N13" i="1"/>
  <c r="N14" i="1"/>
  <c r="N15" i="1"/>
  <c r="N16" i="1"/>
  <c r="N17" i="1"/>
  <c r="N27" i="1"/>
  <c r="N28" i="1"/>
  <c r="N29" i="1"/>
  <c r="N30" i="1"/>
  <c r="N31" i="1"/>
  <c r="N32" i="1"/>
  <c r="N33" i="1"/>
  <c r="AA13" i="2" l="1"/>
  <c r="AA12" i="2"/>
  <c r="AA11" i="2"/>
  <c r="AA7" i="2"/>
  <c r="AA10" i="2"/>
  <c r="AA9" i="2"/>
  <c r="AA8" i="2"/>
  <c r="F18" i="1"/>
  <c r="G18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G34" i="1"/>
  <c r="I34" i="1"/>
  <c r="G40" i="1"/>
  <c r="I40" i="1"/>
  <c r="G39" i="1"/>
  <c r="I39" i="1"/>
  <c r="G38" i="1"/>
  <c r="I38" i="1"/>
  <c r="G37" i="1"/>
  <c r="I37" i="1"/>
  <c r="G36" i="1"/>
  <c r="I36" i="1"/>
  <c r="G35" i="1"/>
  <c r="I35" i="1"/>
  <c r="AK7" i="1"/>
  <c r="K35" i="1"/>
  <c r="K36" i="1"/>
  <c r="K37" i="1"/>
  <c r="K38" i="1"/>
  <c r="K39" i="1"/>
  <c r="K40" i="1"/>
  <c r="K41" i="1"/>
  <c r="K34" i="1"/>
  <c r="AA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<sst xmlns="http://schemas.openxmlformats.org/spreadsheetml/2006/main" count="307" uniqueCount="144">
  <si>
    <t>Ano</t>
  </si>
  <si>
    <t>Commodities</t>
  </si>
  <si>
    <t>CAPEX (R$/Ha)</t>
  </si>
  <si>
    <t>OPEX (R$/Ha)</t>
  </si>
  <si>
    <t>Preço de venda da tonelada - U$D/t</t>
  </si>
  <si>
    <t>Receita (interna) - mil U$D</t>
  </si>
  <si>
    <t>Receita (global) - mil U$D</t>
  </si>
  <si>
    <t>Demanda (Interna) (1000 t)</t>
  </si>
  <si>
    <t>Demanda (Global) (1000 t)</t>
  </si>
  <si>
    <t>MarketShareProdução (%)</t>
  </si>
  <si>
    <t>MarketShareExportação (%)</t>
  </si>
  <si>
    <t>Área plantada (mil He)</t>
  </si>
  <si>
    <t>Produção (mil t)</t>
  </si>
  <si>
    <t>Produção / HE</t>
  </si>
  <si>
    <t>2018/2019</t>
  </si>
  <si>
    <t>Milho</t>
  </si>
  <si>
    <t>Fonte USDA</t>
  </si>
  <si>
    <t>2019/2020</t>
  </si>
  <si>
    <t>Conab (grãos)</t>
  </si>
  <si>
    <t>2020/2021</t>
  </si>
  <si>
    <t>Conab (cana)</t>
  </si>
  <si>
    <t>Commodity</t>
  </si>
  <si>
    <t>Attribute</t>
  </si>
  <si>
    <t>Country</t>
  </si>
  <si>
    <t>2021/2022</t>
  </si>
  <si>
    <t>2022/2023</t>
  </si>
  <si>
    <t>2023/2024</t>
  </si>
  <si>
    <t>2024/2025</t>
  </si>
  <si>
    <t>2025/2026</t>
  </si>
  <si>
    <t>Unit Description</t>
  </si>
  <si>
    <t>Citrus</t>
  </si>
  <si>
    <t>Sugar, Centrifugal</t>
  </si>
  <si>
    <t>Cane Sugar Production</t>
  </si>
  <si>
    <t>Brazil</t>
  </si>
  <si>
    <t>(1000 MT)</t>
  </si>
  <si>
    <t>World</t>
  </si>
  <si>
    <t>Exports</t>
  </si>
  <si>
    <t>Human Dom. Consumption</t>
  </si>
  <si>
    <t>Trigo</t>
  </si>
  <si>
    <t>calcular cana dnv</t>
  </si>
  <si>
    <t>(WORLD BANK GROUP)</t>
  </si>
  <si>
    <t>Café (Saca)</t>
  </si>
  <si>
    <t>Demanda Total Mundo</t>
  </si>
  <si>
    <t>Pct. Arábica Mundo</t>
  </si>
  <si>
    <t>Demanda Total BR</t>
  </si>
  <si>
    <t>Pct. Arábica BR</t>
  </si>
  <si>
    <t>Prod café globalarabica</t>
  </si>
  <si>
    <t>Demanda Global</t>
  </si>
  <si>
    <t>Demanda Interna</t>
  </si>
  <si>
    <t>Exportação Global</t>
  </si>
  <si>
    <t>Exportação Brasil</t>
  </si>
  <si>
    <t>Fator de conversão</t>
  </si>
  <si>
    <t>Café</t>
  </si>
  <si>
    <t xml:space="preserve">	168.754</t>
  </si>
  <si>
    <t>Citros</t>
  </si>
  <si>
    <t>Cana</t>
  </si>
  <si>
    <t>Fazer regra de 3</t>
  </si>
  <si>
    <t>Thousand 60-Kilogram Bags</t>
  </si>
  <si>
    <t>Market Share Produção</t>
  </si>
  <si>
    <t>Market Share Exportação</t>
  </si>
  <si>
    <t>Café Arábica</t>
  </si>
  <si>
    <t>Cana-de-açúcar</t>
  </si>
  <si>
    <t>Players até 30%</t>
  </si>
  <si>
    <t>Brasil (45%)</t>
  </si>
  <si>
    <t>Russia (20%)</t>
  </si>
  <si>
    <t>Brasil</t>
  </si>
  <si>
    <t>EUA (31%)</t>
  </si>
  <si>
    <t>Brasil (66%)</t>
  </si>
  <si>
    <t xml:space="preserve"> </t>
  </si>
  <si>
    <t>Colombia (14,8%)</t>
  </si>
  <si>
    <t>União Europeia (15%)</t>
  </si>
  <si>
    <t>México(15%)</t>
  </si>
  <si>
    <t>Brasil ( 21%)</t>
  </si>
  <si>
    <t>Tailândia (12%)</t>
  </si>
  <si>
    <t>Etiópia (9%)</t>
  </si>
  <si>
    <t>Austrália (13%)</t>
  </si>
  <si>
    <t>Demais(10%)</t>
  </si>
  <si>
    <t>Argentina (17%)</t>
  </si>
  <si>
    <t>India (5%)</t>
  </si>
  <si>
    <t>Demais (32,2%)</t>
  </si>
  <si>
    <t>Canadá (13%)</t>
  </si>
  <si>
    <t>Ucrânia (7%)</t>
  </si>
  <si>
    <t>Demais (83%)</t>
  </si>
  <si>
    <t>EUA (11%)</t>
  </si>
  <si>
    <t>Demais(24%)</t>
  </si>
  <si>
    <t>Matar</t>
  </si>
  <si>
    <t>Demais (28%)</t>
  </si>
  <si>
    <t>Açúcar (mil t)</t>
  </si>
  <si>
    <t>ATR médio (Kg/t)</t>
  </si>
  <si>
    <t>Etanol Anidro (mil l)</t>
  </si>
  <si>
    <t>Etanol Hidratado (mil l)</t>
  </si>
  <si>
    <t>Etanol Total (mil l)</t>
  </si>
  <si>
    <t>%Cana que vira açúcar</t>
  </si>
  <si>
    <t>%Cana para o resto</t>
  </si>
  <si>
    <t>Preço do açúcar (U$D/t)</t>
  </si>
  <si>
    <t>Preço etanol anidro (U$D/l)</t>
  </si>
  <si>
    <t>Preço Etanol Hidratado (U$D/l)</t>
  </si>
  <si>
    <t>Preço médio (U$D/l)</t>
  </si>
  <si>
    <t>Demanda Açúcar (1000 t)</t>
  </si>
  <si>
    <t>Demanda açúcar exportação (1000 t)</t>
  </si>
  <si>
    <t>Demanda Etanol total hidratado (1000 l)</t>
  </si>
  <si>
    <t>Demanda Etanol total Anidro (1000 l)</t>
  </si>
  <si>
    <t>Demanda Etanol exportação Hidratado(1000l)</t>
  </si>
  <si>
    <t>Demanda Etanol exportação Anidro (1000l)</t>
  </si>
  <si>
    <t>Receita açúcar (mil U$D)</t>
  </si>
  <si>
    <t>Receita açúcar exportação (mil U$D)</t>
  </si>
  <si>
    <t>Receita Etanol Hidratado (mil U$D)</t>
  </si>
  <si>
    <t>Receita Etanol Hidratado exportação (mil U$D)</t>
  </si>
  <si>
    <t>Receita Etanol Anidro (mil U$D)</t>
  </si>
  <si>
    <t>Receita Etanol  Anidro exportação (mil U$D)</t>
  </si>
  <si>
    <t>Receita total Receita total Açúcar + Etanol  (mil U$D)</t>
  </si>
  <si>
    <t>Ministério do desenvolvimento agrário</t>
  </si>
  <si>
    <t>Fatores de conversão para toneladas de cana equivalente</t>
  </si>
  <si>
    <t>Etanol Anidro</t>
  </si>
  <si>
    <t>Etanol Hidratado</t>
  </si>
  <si>
    <t>Açúcar</t>
  </si>
  <si>
    <t>Demanda total cana - Açúcar + Etanol (1000 t)</t>
  </si>
  <si>
    <t>cepea</t>
  </si>
  <si>
    <t>USDA</t>
  </si>
  <si>
    <t>Os demais Subprodutos são desprezíveis frente o Etanol</t>
  </si>
  <si>
    <t>**Preço médio anual com base nos relatórios semanais</t>
  </si>
  <si>
    <t>Safra</t>
  </si>
  <si>
    <t>Etanol anidro exportado</t>
  </si>
  <si>
    <t>Etanol hidratado exportado</t>
  </si>
  <si>
    <t>Total exportado</t>
  </si>
  <si>
    <t>Qualidade do dado</t>
  </si>
  <si>
    <t>2018/19</t>
  </si>
  <si>
    <t>UNICA / Centro-Sul</t>
  </si>
  <si>
    <t>2019/20</t>
  </si>
  <si>
    <t>2020/21E</t>
  </si>
  <si>
    <t>Estimado por variação contra 2021/22</t>
  </si>
  <si>
    <t>2021/22</t>
  </si>
  <si>
    <t>Produção global cana de açucar em toneladas</t>
  </si>
  <si>
    <t>Market Share do Brazil no açúcar</t>
  </si>
  <si>
    <t>Demanda Açúcar global (1000 t)</t>
  </si>
  <si>
    <t>2022/23</t>
  </si>
  <si>
    <t>Consumo interno anidro (1000 L)</t>
  </si>
  <si>
    <t>Consumo interno hidratado (1000 L)</t>
  </si>
  <si>
    <t>Consumo interno total (1000 L)</t>
  </si>
  <si>
    <t>2023/24</t>
  </si>
  <si>
    <t>2024/25</t>
  </si>
  <si>
    <t>2025/26E</t>
  </si>
  <si>
    <t>Estimado via Comex Stat / NCM</t>
  </si>
  <si>
    <t>2020/21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</si>
</sst>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.00"/>
  </numFmts>
  <fonts count="21">
    <font>
      <sz val="11"/>
      <color theme="1"/>
      <name val="Aptos Narrow"/>
      <family val="2"/>
      <scheme val="minor"/>
    </font>
    <font>
      <sz val="11"/>
      <color theme="1"/>
      <name val="Comic Sans MS"/>
    </font>
    <font>
      <b/>
      <sz val="10"/>
      <color theme="1"/>
      <name val="Aptos Narrow"/>
      <family val="2"/>
      <scheme val="minor"/>
    </font>
    <font>
      <sz val="11"/>
      <color theme="1"/>
      <name val="Comic Sans MS"/>
      <family val="4"/>
    </font>
    <font>
      <sz val="10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rial"/>
    </font>
    <font>
      <b/>
      <sz val="11"/>
      <color theme="1"/>
      <name val="Comic Sans MS"/>
      <family val="4"/>
    </font>
    <font>
      <sz val="11"/>
      <name val="Comic Sans MS"/>
      <family val="4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Comic Sans MS"/>
      <family val="4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sz val="11"/>
      <color rgb="FF333333"/>
      <name val="Arial"/>
    </font>
    <font>
      <sz val="11"/>
      <color theme="0"/>
      <name val="Aptos Narrow"/>
      <family val="2"/>
      <scheme val="minor"/>
    </font>
    <font>
      <sz val="11"/>
      <color rgb="FF242424"/>
      <name val="Consolas"/>
      <charset val="1"/>
    </font>
    <font>
      <sz val="11"/>
      <color rgb="FF242424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EE9D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000000"/>
      </right>
      <top style="medium">
        <color rgb="FFDDDDDD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thick">
        <color rgb="FF000000"/>
      </bottom>
      <diagonal/>
    </border>
    <border>
      <left style="medium">
        <color rgb="FF000000"/>
      </left>
      <right style="medium">
        <color rgb="FFDDDDDD"/>
      </right>
      <top style="medium">
        <color rgb="FFDDDDDD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4">
    <xf numFmtId="0" fontId="0" fillId="0" borderId="0"/>
    <xf numFmtId="0" fontId="4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2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8" fillId="0" borderId="0" xfId="3" applyNumberFormat="1" applyFont="1" applyAlignment="1">
      <alignment horizontal="center"/>
    </xf>
    <xf numFmtId="164" fontId="8" fillId="0" borderId="1" xfId="3" applyNumberFormat="1" applyFont="1" applyBorder="1" applyAlignment="1">
      <alignment horizontal="center"/>
    </xf>
    <xf numFmtId="3" fontId="9" fillId="4" borderId="2" xfId="0" applyNumberFormat="1" applyFont="1" applyFill="1" applyBorder="1" applyAlignment="1">
      <alignment horizontal="right" vertical="top" wrapText="1"/>
    </xf>
    <xf numFmtId="3" fontId="9" fillId="3" borderId="2" xfId="0" applyNumberFormat="1" applyFont="1" applyFill="1" applyBorder="1" applyAlignment="1">
      <alignment horizontal="right" vertical="top" wrapText="1"/>
    </xf>
    <xf numFmtId="0" fontId="9" fillId="3" borderId="2" xfId="0" applyFont="1" applyFill="1" applyBorder="1" applyAlignment="1">
      <alignment horizontal="left" vertical="top" wrapText="1"/>
    </xf>
    <xf numFmtId="0" fontId="4" fillId="5" borderId="0" xfId="0" applyFont="1" applyFill="1"/>
    <xf numFmtId="0" fontId="4" fillId="0" borderId="0" xfId="0" applyFont="1"/>
    <xf numFmtId="0" fontId="9" fillId="4" borderId="2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3" fillId="0" borderId="0" xfId="0" applyFont="1" applyAlignment="1">
      <alignment horizontal="center" wrapText="1"/>
    </xf>
    <xf numFmtId="164" fontId="4" fillId="0" borderId="0" xfId="3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2" borderId="0" xfId="0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/>
    <xf numFmtId="4" fontId="3" fillId="0" borderId="0" xfId="0" applyNumberFormat="1" applyFont="1" applyAlignment="1">
      <alignment horizontal="center"/>
    </xf>
    <xf numFmtId="4" fontId="0" fillId="0" borderId="0" xfId="0" applyNumberFormat="1"/>
    <xf numFmtId="4" fontId="3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horizontal="center"/>
    </xf>
    <xf numFmtId="164" fontId="4" fillId="0" borderId="0" xfId="1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wrapText="1"/>
    </xf>
    <xf numFmtId="4" fontId="15" fillId="0" borderId="0" xfId="0" applyNumberFormat="1" applyFont="1"/>
    <xf numFmtId="4" fontId="0" fillId="0" borderId="0" xfId="0" applyNumberFormat="1" applyAlignment="1">
      <alignment horizontal="center" wrapText="1"/>
    </xf>
    <xf numFmtId="4" fontId="14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12" fillId="0" borderId="0" xfId="0" applyNumberFormat="1" applyFont="1" applyAlignment="1">
      <alignment horizontal="right" vertical="center" wrapText="1"/>
    </xf>
    <xf numFmtId="0" fontId="0" fillId="0" borderId="7" xfId="0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" xfId="0" applyFill="1" applyBorder="1" applyAlignment="1">
      <alignment horizontal="left" vertical="top" wrapText="1"/>
    </xf>
    <xf numFmtId="3" fontId="3" fillId="0" borderId="6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16" fillId="0" borderId="0" xfId="0" applyNumberFormat="1" applyFont="1"/>
    <xf numFmtId="3" fontId="16" fillId="0" borderId="0" xfId="0" applyNumberFormat="1" applyFont="1"/>
    <xf numFmtId="10" fontId="0" fillId="0" borderId="0" xfId="0" applyNumberFormat="1"/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13" fillId="0" borderId="14" xfId="0" applyNumberFormat="1" applyFont="1" applyBorder="1" applyAlignment="1">
      <alignment horizontal="center"/>
    </xf>
    <xf numFmtId="4" fontId="0" fillId="0" borderId="9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4" fontId="3" fillId="0" borderId="0" xfId="0" applyNumberFormat="1" applyFont="1" applyAlignment="1">
      <alignment horizontal="center" wrapText="1"/>
    </xf>
    <xf numFmtId="4" fontId="3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4" fontId="11" fillId="3" borderId="15" xfId="0" applyNumberFormat="1" applyFont="1" applyFill="1" applyBorder="1" applyAlignment="1">
      <alignment horizontal="center" vertical="top" wrapText="1"/>
    </xf>
    <xf numFmtId="4" fontId="11" fillId="3" borderId="17" xfId="0" applyNumberFormat="1" applyFont="1" applyFill="1" applyBorder="1" applyAlignment="1">
      <alignment horizontal="center" vertical="top" wrapText="1"/>
    </xf>
    <xf numFmtId="4" fontId="11" fillId="3" borderId="16" xfId="0" applyNumberFormat="1" applyFont="1" applyFill="1" applyBorder="1" applyAlignment="1">
      <alignment horizontal="center" vertical="top" wrapText="1"/>
    </xf>
    <xf numFmtId="3" fontId="17" fillId="4" borderId="2" xfId="0" applyNumberFormat="1" applyFont="1" applyFill="1" applyBorder="1" applyAlignment="1">
      <alignment horizontal="right" vertical="top" wrapText="1"/>
    </xf>
    <xf numFmtId="0" fontId="17" fillId="4" borderId="2" xfId="0" applyFont="1" applyFill="1" applyBorder="1" applyAlignment="1">
      <alignment horizontal="left" vertical="top" wrapText="1"/>
    </xf>
    <xf numFmtId="3" fontId="17" fillId="3" borderId="2" xfId="0" applyNumberFormat="1" applyFont="1" applyFill="1" applyBorder="1" applyAlignment="1">
      <alignment horizontal="right" vertical="top" wrapText="1"/>
    </xf>
    <xf numFmtId="0" fontId="17" fillId="3" borderId="2" xfId="0" applyFont="1" applyFill="1" applyBorder="1" applyAlignment="1">
      <alignment horizontal="left" vertical="top" wrapText="1"/>
    </xf>
    <xf numFmtId="4" fontId="8" fillId="0" borderId="0" xfId="3" applyNumberFormat="1" applyFont="1" applyAlignment="1">
      <alignment horizontal="center"/>
    </xf>
    <xf numFmtId="4" fontId="0" fillId="0" borderId="6" xfId="0" applyNumberFormat="1" applyBorder="1" applyAlignment="1">
      <alignment horizontal="center"/>
    </xf>
    <xf numFmtId="4" fontId="8" fillId="0" borderId="1" xfId="3" applyNumberFormat="1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8" fillId="6" borderId="0" xfId="0" applyFont="1" applyFill="1"/>
    <xf numFmtId="10" fontId="0" fillId="7" borderId="0" xfId="0" applyNumberFormat="1" applyFill="1"/>
    <xf numFmtId="9" fontId="0" fillId="7" borderId="0" xfId="0" applyNumberFormat="1" applyFill="1"/>
    <xf numFmtId="0" fontId="19" fillId="0" borderId="0" xfId="0" applyFont="1"/>
    <xf numFmtId="0" fontId="20" fillId="0" borderId="0" xfId="0" applyFont="1"/>
    <xf numFmtId="0" fontId="5" fillId="0" borderId="0" xfId="2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8" fillId="8" borderId="0" xfId="0" applyFont="1" applyFill="1" applyAlignment="1">
      <alignment horizontal="center"/>
    </xf>
    <xf numFmtId="0" fontId="5" fillId="0" borderId="0" xfId="2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</cellXfs>
  <cellStyles count="4">
    <cellStyle name="Hiperlink" xfId="2" builtinId="8"/>
    <cellStyle name="Normal" xfId="0" builtinId="0"/>
    <cellStyle name="Normal 2" xfId="1" xr:uid="{174D7EE8-AC1E-469A-9846-A6D9C3509081}"/>
    <cellStyle name="Normal 3" xfId="3" xr:uid="{53A2EA13-9345-4CE2-853F-C9069A7D8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undecitrus.com.br/pes/" TargetMode="External"/><Relationship Id="rId2" Type="http://schemas.openxmlformats.org/officeDocument/2006/relationships/hyperlink" Target="https://portaldeinformacoes.conab.gov.br/safra-serie-historica-cana-de-acucar.html?utm_source=chatgpt.com" TargetMode="External"/><Relationship Id="rId1" Type="http://schemas.openxmlformats.org/officeDocument/2006/relationships/hyperlink" Target="https://portaldeinformacoes.conab.gov.br/safra-serie-historica-graos.html?utm_source=chatgpt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v.br/conab/pt-br/atuacao/informacoes-agropecuarias/safras/series-historicas/cana-de-acucar/industria/canaseriehist-industria.xls/view" TargetMode="External"/><Relationship Id="rId1" Type="http://schemas.openxmlformats.org/officeDocument/2006/relationships/hyperlink" Target="https://cepea.org.br/br/indicador/etano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D1AF-776B-469A-AC4A-756D4DE63FAE}">
  <dimension ref="A1:AL67"/>
  <sheetViews>
    <sheetView tabSelected="1" zoomScale="80" zoomScaleNormal="128" workbookViewId="0">
      <pane xSplit="2" ySplit="1" topLeftCell="C2" activePane="bottomRight" state="frozen"/>
      <selection pane="bottomRight" activeCell="E43" sqref="E43"/>
      <selection pane="bottomLeft"/>
      <selection pane="topRight"/>
    </sheetView>
  </sheetViews>
  <sheetFormatPr defaultRowHeight="15" customHeight="1"/>
  <cols>
    <col min="1" max="1" width="14.7109375" bestFit="1" customWidth="1"/>
    <col min="2" max="2" width="18.85546875" bestFit="1" customWidth="1"/>
    <col min="3" max="3" width="19.85546875" bestFit="1" customWidth="1"/>
    <col min="4" max="4" width="18.28515625" bestFit="1" customWidth="1"/>
    <col min="5" max="5" width="47.42578125" bestFit="1" customWidth="1"/>
    <col min="6" max="6" width="35.7109375" bestFit="1" customWidth="1"/>
    <col min="7" max="7" width="34.7109375" bestFit="1" customWidth="1"/>
    <col min="8" max="8" width="35.28515625" bestFit="1" customWidth="1"/>
    <col min="9" max="9" width="34" bestFit="1" customWidth="1"/>
    <col min="10" max="10" width="35.28515625" bestFit="1" customWidth="1"/>
    <col min="11" max="11" width="37.42578125" bestFit="1" customWidth="1"/>
    <col min="12" max="12" width="29.85546875" bestFit="1" customWidth="1"/>
    <col min="13" max="13" width="22.42578125" bestFit="1" customWidth="1"/>
    <col min="14" max="14" width="20.28515625" bestFit="1" customWidth="1"/>
    <col min="15" max="15" width="13.42578125" bestFit="1" customWidth="1"/>
    <col min="16" max="16" width="25.28515625" bestFit="1" customWidth="1"/>
    <col min="17" max="17" width="22.140625" bestFit="1" customWidth="1"/>
    <col min="18" max="18" width="21.42578125" bestFit="1" customWidth="1"/>
    <col min="19" max="19" width="18" bestFit="1" customWidth="1"/>
    <col min="20" max="20" width="25.42578125" bestFit="1" customWidth="1"/>
    <col min="21" max="21" width="18.140625" bestFit="1" customWidth="1"/>
    <col min="22" max="22" width="19.5703125" bestFit="1" customWidth="1"/>
    <col min="23" max="23" width="21.7109375" bestFit="1" customWidth="1"/>
    <col min="24" max="24" width="24.85546875" bestFit="1" customWidth="1"/>
    <col min="25" max="25" width="20.42578125" bestFit="1" customWidth="1"/>
    <col min="26" max="26" width="24.5703125" bestFit="1" customWidth="1"/>
    <col min="27" max="27" width="21.7109375" bestFit="1" customWidth="1"/>
    <col min="30" max="30" width="21" bestFit="1" customWidth="1"/>
  </cols>
  <sheetData>
    <row r="1" spans="1:38" ht="18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1"/>
      <c r="P1">
        <v>0</v>
      </c>
    </row>
    <row r="2" spans="1:38" ht="18">
      <c r="A2" s="9" t="s">
        <v>14</v>
      </c>
      <c r="B2" s="5" t="s">
        <v>15</v>
      </c>
      <c r="C2" s="26">
        <v>44400</v>
      </c>
      <c r="D2" s="26">
        <v>3980</v>
      </c>
      <c r="E2" s="5">
        <v>164.41</v>
      </c>
      <c r="F2" s="5">
        <f>E2*H2</f>
        <v>10933265</v>
      </c>
      <c r="G2" s="5">
        <f>E2*I2</f>
        <v>186111955.59</v>
      </c>
      <c r="H2" s="28">
        <v>66500</v>
      </c>
      <c r="I2" s="28">
        <v>1131999</v>
      </c>
      <c r="J2" s="5">
        <v>8.9148744238431394</v>
      </c>
      <c r="K2" s="5">
        <v>21.705082742316783</v>
      </c>
      <c r="L2" s="10">
        <v>17493</v>
      </c>
      <c r="M2" s="10">
        <v>100043</v>
      </c>
      <c r="N2" s="5">
        <f>M2/L2</f>
        <v>5.7190304693305896</v>
      </c>
      <c r="O2" s="1"/>
      <c r="P2" t="s">
        <v>16</v>
      </c>
      <c r="T2">
        <v>1000</v>
      </c>
    </row>
    <row r="3" spans="1:38" ht="18">
      <c r="A3" s="9" t="s">
        <v>17</v>
      </c>
      <c r="B3" s="5" t="s">
        <v>15</v>
      </c>
      <c r="C3" s="26">
        <v>47800</v>
      </c>
      <c r="D3" s="21">
        <v>2698.23</v>
      </c>
      <c r="E3" s="5">
        <v>170.07</v>
      </c>
      <c r="F3" s="5">
        <f>E3*H3</f>
        <v>11564760</v>
      </c>
      <c r="G3" s="5">
        <f>E3*I3</f>
        <v>193110743.45999998</v>
      </c>
      <c r="H3" s="28">
        <v>68000</v>
      </c>
      <c r="I3" s="28">
        <v>1135478</v>
      </c>
      <c r="J3" s="5">
        <v>9.040894091243894</v>
      </c>
      <c r="K3" s="5">
        <v>20.361109984412938</v>
      </c>
      <c r="L3" s="10">
        <v>18527</v>
      </c>
      <c r="M3" s="10">
        <v>102501</v>
      </c>
      <c r="N3" s="5">
        <f t="shared" ref="N3:N33" si="0">M3/L3</f>
        <v>5.5325201057915478</v>
      </c>
      <c r="O3" s="1"/>
      <c r="P3" s="4" t="s">
        <v>18</v>
      </c>
    </row>
    <row r="4" spans="1:38" ht="18">
      <c r="A4" s="9" t="s">
        <v>19</v>
      </c>
      <c r="B4" s="5" t="s">
        <v>15</v>
      </c>
      <c r="C4" s="26">
        <v>57500</v>
      </c>
      <c r="D4" s="5">
        <v>2598.5</v>
      </c>
      <c r="E4" s="5">
        <v>165.47</v>
      </c>
      <c r="F4" s="5">
        <f>E4*H4</f>
        <v>11665635</v>
      </c>
      <c r="G4" s="5">
        <f>E4*I4</f>
        <v>190906710.28</v>
      </c>
      <c r="H4" s="28">
        <v>70500</v>
      </c>
      <c r="I4" s="28">
        <v>1153724</v>
      </c>
      <c r="J4" s="5">
        <v>7.6690293741454987</v>
      </c>
      <c r="K4" s="5">
        <v>11.395864994587976</v>
      </c>
      <c r="L4" s="10">
        <v>19867</v>
      </c>
      <c r="M4" s="10">
        <v>87020</v>
      </c>
      <c r="N4" s="5">
        <f t="shared" si="0"/>
        <v>4.3801278502038556</v>
      </c>
      <c r="O4" s="1"/>
      <c r="P4" s="4" t="s">
        <v>20</v>
      </c>
      <c r="T4" s="18" t="s">
        <v>21</v>
      </c>
      <c r="U4" s="19" t="s">
        <v>22</v>
      </c>
      <c r="V4" s="19" t="s">
        <v>23</v>
      </c>
      <c r="W4" s="19" t="s">
        <v>14</v>
      </c>
      <c r="X4" s="19" t="s">
        <v>17</v>
      </c>
      <c r="Y4" s="19" t="s">
        <v>19</v>
      </c>
      <c r="Z4" s="19" t="s">
        <v>24</v>
      </c>
      <c r="AA4" s="19" t="s">
        <v>25</v>
      </c>
      <c r="AB4" s="19" t="s">
        <v>26</v>
      </c>
      <c r="AC4" s="19" t="s">
        <v>27</v>
      </c>
      <c r="AD4" s="19" t="s">
        <v>28</v>
      </c>
      <c r="AE4" s="20" t="s">
        <v>29</v>
      </c>
    </row>
    <row r="5" spans="1:38" ht="28.5">
      <c r="A5" s="9" t="s">
        <v>24</v>
      </c>
      <c r="B5" s="5" t="s">
        <v>15</v>
      </c>
      <c r="C5" s="26">
        <v>80100</v>
      </c>
      <c r="D5" s="5">
        <v>3766.91</v>
      </c>
      <c r="E5" s="5">
        <v>259.55</v>
      </c>
      <c r="F5" s="5">
        <f>E5*H5</f>
        <v>18557825</v>
      </c>
      <c r="G5" s="5">
        <f>E5*I5</f>
        <v>306864148.15000004</v>
      </c>
      <c r="H5" s="28">
        <v>71500</v>
      </c>
      <c r="I5" s="28">
        <v>1182293</v>
      </c>
      <c r="J5" s="5">
        <v>9.5000982768787274</v>
      </c>
      <c r="K5" s="5">
        <v>23.339614324535098</v>
      </c>
      <c r="L5" s="10">
        <v>21581.9</v>
      </c>
      <c r="M5" s="10">
        <v>113272.3</v>
      </c>
      <c r="N5" s="5">
        <f t="shared" si="0"/>
        <v>5.24848599984246</v>
      </c>
      <c r="O5" s="1"/>
      <c r="P5" s="4" t="s">
        <v>30</v>
      </c>
      <c r="T5" s="17" t="s">
        <v>31</v>
      </c>
      <c r="U5" s="17" t="s">
        <v>32</v>
      </c>
      <c r="V5" s="17" t="s">
        <v>33</v>
      </c>
      <c r="W5" s="12">
        <v>29500</v>
      </c>
      <c r="X5" s="12">
        <v>30300</v>
      </c>
      <c r="Y5" s="12">
        <v>42050</v>
      </c>
      <c r="Z5" s="12">
        <v>35450</v>
      </c>
      <c r="AA5" s="12">
        <v>38050</v>
      </c>
      <c r="AB5" s="12">
        <v>45544</v>
      </c>
      <c r="AC5" s="12">
        <v>43700</v>
      </c>
      <c r="AD5" s="12">
        <v>44386</v>
      </c>
      <c r="AE5" s="17" t="s">
        <v>34</v>
      </c>
    </row>
    <row r="6" spans="1:38" ht="28.5">
      <c r="A6" s="9" t="s">
        <v>25</v>
      </c>
      <c r="B6" s="5" t="s">
        <v>15</v>
      </c>
      <c r="C6" s="26">
        <v>93900</v>
      </c>
      <c r="D6" s="5">
        <v>6779.69</v>
      </c>
      <c r="E6" s="5">
        <v>318.81</v>
      </c>
      <c r="F6" s="5">
        <f>E6*H6</f>
        <v>24867180</v>
      </c>
      <c r="G6" s="5">
        <f>E6*I6</f>
        <v>372206849.28000003</v>
      </c>
      <c r="H6" s="28">
        <v>78000</v>
      </c>
      <c r="I6" s="28">
        <v>1167488</v>
      </c>
      <c r="J6" s="5">
        <v>11.752413533976485</v>
      </c>
      <c r="K6" s="5">
        <v>30.043960551918353</v>
      </c>
      <c r="L6" s="10">
        <v>22267.4</v>
      </c>
      <c r="M6" s="10">
        <v>131866.1</v>
      </c>
      <c r="N6" s="5">
        <f t="shared" si="0"/>
        <v>5.9219352057267578</v>
      </c>
      <c r="O6" s="1"/>
      <c r="T6" s="14"/>
      <c r="U6" s="14"/>
      <c r="V6" s="14" t="s">
        <v>35</v>
      </c>
      <c r="W6" s="13">
        <v>139579</v>
      </c>
      <c r="X6" s="13">
        <v>125863</v>
      </c>
      <c r="Y6" s="13">
        <v>142943</v>
      </c>
      <c r="Z6" s="13">
        <v>142517</v>
      </c>
      <c r="AA6" s="13">
        <v>143735</v>
      </c>
      <c r="AB6" s="13">
        <v>141127</v>
      </c>
      <c r="AC6" s="13">
        <v>139757</v>
      </c>
      <c r="AD6" s="13">
        <v>149605</v>
      </c>
      <c r="AE6" s="14" t="s">
        <v>34</v>
      </c>
    </row>
    <row r="7" spans="1:38" ht="28.5">
      <c r="A7" s="9" t="s">
        <v>26</v>
      </c>
      <c r="B7" s="5" t="s">
        <v>15</v>
      </c>
      <c r="C7" s="26">
        <v>99100</v>
      </c>
      <c r="D7" s="5">
        <v>6020.21</v>
      </c>
      <c r="E7" s="5">
        <v>252.66</v>
      </c>
      <c r="F7" s="5">
        <f>E7*H7</f>
        <v>21223440</v>
      </c>
      <c r="G7" s="5">
        <f>E7*I7</f>
        <v>309808407.42000002</v>
      </c>
      <c r="H7" s="28">
        <v>84000</v>
      </c>
      <c r="I7" s="28">
        <v>1226187</v>
      </c>
      <c r="J7" s="5">
        <v>9.6659323807110233</v>
      </c>
      <c r="K7" s="5">
        <v>19.859437125624176</v>
      </c>
      <c r="L7" s="10">
        <v>21058.5</v>
      </c>
      <c r="M7" s="10">
        <v>115723.2</v>
      </c>
      <c r="N7" s="5">
        <f t="shared" si="0"/>
        <v>5.4953201794999647</v>
      </c>
      <c r="O7" s="1"/>
      <c r="T7" s="17"/>
      <c r="U7" s="17" t="s">
        <v>36</v>
      </c>
      <c r="V7" s="17" t="s">
        <v>33</v>
      </c>
      <c r="W7" s="12">
        <v>19600</v>
      </c>
      <c r="X7" s="12">
        <v>19280</v>
      </c>
      <c r="Y7" s="12">
        <v>32150</v>
      </c>
      <c r="Z7" s="12">
        <v>25950</v>
      </c>
      <c r="AA7" s="12">
        <v>28200</v>
      </c>
      <c r="AB7" s="12">
        <v>35974</v>
      </c>
      <c r="AC7" s="12">
        <v>34890</v>
      </c>
      <c r="AD7" s="12">
        <v>35700</v>
      </c>
      <c r="AE7" s="17" t="s">
        <v>34</v>
      </c>
      <c r="AK7" t="str" cm="1">
        <f t="array" ref="AK7:AL16">TRANSPOSE(U7:AD8)</f>
        <v>Exports</v>
      </c>
      <c r="AL7">
        <v>0</v>
      </c>
    </row>
    <row r="8" spans="1:38" ht="28.5">
      <c r="A8" s="9" t="s">
        <v>27</v>
      </c>
      <c r="B8" s="5" t="s">
        <v>15</v>
      </c>
      <c r="C8" s="26">
        <v>104700</v>
      </c>
      <c r="D8" s="5">
        <v>5858.77</v>
      </c>
      <c r="E8" s="5">
        <v>190.6</v>
      </c>
      <c r="F8" s="5">
        <f>E8*H8</f>
        <v>17630500</v>
      </c>
      <c r="G8" s="5">
        <f>E8*I8</f>
        <v>238135258.79999998</v>
      </c>
      <c r="H8" s="28">
        <v>92500</v>
      </c>
      <c r="I8" s="28">
        <v>1249398</v>
      </c>
      <c r="J8" s="5">
        <v>11.044537095838972</v>
      </c>
      <c r="K8" s="5">
        <v>22.483929745066714</v>
      </c>
      <c r="L8" s="10">
        <v>21857.5</v>
      </c>
      <c r="M8" s="10">
        <v>139695.79999999999</v>
      </c>
      <c r="N8" s="5">
        <f t="shared" si="0"/>
        <v>6.3912066796294171</v>
      </c>
      <c r="O8" s="1"/>
      <c r="T8" s="14"/>
      <c r="U8" s="14"/>
      <c r="V8" s="14" t="s">
        <v>35</v>
      </c>
      <c r="W8" s="13">
        <v>58285</v>
      </c>
      <c r="X8" s="13">
        <v>53524</v>
      </c>
      <c r="Y8" s="13">
        <v>64033</v>
      </c>
      <c r="Z8" s="13">
        <v>64664</v>
      </c>
      <c r="AA8" s="13">
        <v>62008</v>
      </c>
      <c r="AB8" s="13">
        <v>62937</v>
      </c>
      <c r="AC8" s="13">
        <v>63388</v>
      </c>
      <c r="AD8" s="13">
        <v>66001</v>
      </c>
      <c r="AE8" s="14" t="s">
        <v>34</v>
      </c>
      <c r="AK8" t="str">
        <v>Brazil</v>
      </c>
      <c r="AL8" t="str">
        <v>World</v>
      </c>
    </row>
    <row r="9" spans="1:38" ht="28.5">
      <c r="A9" s="79" t="s">
        <v>28</v>
      </c>
      <c r="B9" s="6" t="s">
        <v>15</v>
      </c>
      <c r="C9" s="48">
        <v>109400</v>
      </c>
      <c r="D9" s="6">
        <v>6386.35</v>
      </c>
      <c r="E9" s="6">
        <v>203.2</v>
      </c>
      <c r="F9" s="63">
        <f>E9*H9</f>
        <v>19507200</v>
      </c>
      <c r="G9" s="63">
        <f>E9*I9</f>
        <v>261794142.39999998</v>
      </c>
      <c r="H9" s="52">
        <v>96000</v>
      </c>
      <c r="I9" s="52">
        <v>1288357</v>
      </c>
      <c r="J9" s="6">
        <v>10.145495630519497</v>
      </c>
      <c r="K9" s="6">
        <v>20.744185597746121</v>
      </c>
      <c r="L9" s="11">
        <v>22483.200000000001</v>
      </c>
      <c r="M9" s="11">
        <v>139572</v>
      </c>
      <c r="N9" s="6">
        <f>M9/L9</f>
        <v>6.2078351836037573</v>
      </c>
      <c r="O9" s="1"/>
      <c r="T9" s="17"/>
      <c r="U9" s="17" t="s">
        <v>37</v>
      </c>
      <c r="V9" s="17" t="s">
        <v>33</v>
      </c>
      <c r="W9" s="12">
        <v>10600</v>
      </c>
      <c r="X9" s="12">
        <v>10650</v>
      </c>
      <c r="Y9" s="12">
        <v>10150</v>
      </c>
      <c r="Z9" s="12">
        <v>9500</v>
      </c>
      <c r="AA9" s="12">
        <v>9500</v>
      </c>
      <c r="AB9" s="12">
        <v>9500</v>
      </c>
      <c r="AC9" s="12">
        <v>9000</v>
      </c>
      <c r="AD9" s="12">
        <v>9000</v>
      </c>
      <c r="AE9" s="17" t="s">
        <v>34</v>
      </c>
      <c r="AK9">
        <v>19600</v>
      </c>
      <c r="AL9">
        <v>58285</v>
      </c>
    </row>
    <row r="10" spans="1:38" ht="28.5">
      <c r="A10" s="9" t="s">
        <v>14</v>
      </c>
      <c r="B10" s="5" t="s">
        <v>38</v>
      </c>
      <c r="C10" s="26">
        <v>41500</v>
      </c>
      <c r="D10" s="26">
        <v>3800</v>
      </c>
      <c r="E10" s="5">
        <v>209.93</v>
      </c>
      <c r="F10" s="5">
        <f>E10*H10</f>
        <v>2498167</v>
      </c>
      <c r="G10" s="5">
        <f>E10*I10</f>
        <v>153512152.22</v>
      </c>
      <c r="H10" s="66">
        <v>11900</v>
      </c>
      <c r="I10" s="66">
        <v>731254</v>
      </c>
      <c r="J10" s="5">
        <v>0.74367064761547241</v>
      </c>
      <c r="K10" s="5">
        <v>0.34158547864523342</v>
      </c>
      <c r="L10" s="10">
        <v>2042.4</v>
      </c>
      <c r="M10" s="10">
        <v>5427.6</v>
      </c>
      <c r="N10" s="5">
        <f t="shared" si="0"/>
        <v>2.6574618096357225</v>
      </c>
      <c r="O10" s="1"/>
      <c r="T10" s="14"/>
      <c r="U10" s="14"/>
      <c r="V10" s="14" t="s">
        <v>35</v>
      </c>
      <c r="W10" s="13">
        <v>171979</v>
      </c>
      <c r="X10" s="13">
        <v>171456</v>
      </c>
      <c r="Y10" s="13">
        <v>171275</v>
      </c>
      <c r="Z10" s="13">
        <v>174026</v>
      </c>
      <c r="AA10" s="13">
        <v>176568</v>
      </c>
      <c r="AB10" s="13">
        <v>177015</v>
      </c>
      <c r="AC10" s="13">
        <v>175772</v>
      </c>
      <c r="AD10" s="13">
        <v>178113</v>
      </c>
      <c r="AE10" s="14" t="s">
        <v>34</v>
      </c>
      <c r="AK10">
        <v>19280</v>
      </c>
      <c r="AL10">
        <v>53524</v>
      </c>
    </row>
    <row r="11" spans="1:38" ht="18">
      <c r="A11" s="9" t="s">
        <v>17</v>
      </c>
      <c r="B11" s="5" t="s">
        <v>38</v>
      </c>
      <c r="C11" s="26">
        <v>44200</v>
      </c>
      <c r="D11" s="5">
        <v>2694.24</v>
      </c>
      <c r="E11" s="5">
        <v>201.69</v>
      </c>
      <c r="F11" s="5">
        <f>E11*H11</f>
        <v>2400111</v>
      </c>
      <c r="G11" s="5">
        <f>E11*I11</f>
        <v>149057380.97999999</v>
      </c>
      <c r="H11" s="87">
        <v>11900</v>
      </c>
      <c r="I11" s="66">
        <v>739042</v>
      </c>
      <c r="J11" s="5">
        <v>0.67890763695364731</v>
      </c>
      <c r="K11" s="5">
        <v>0.2184056898536425</v>
      </c>
      <c r="L11" s="10">
        <v>2039</v>
      </c>
      <c r="M11" s="10">
        <v>5154</v>
      </c>
      <c r="N11" s="5">
        <f t="shared" si="0"/>
        <v>2.527709661598823</v>
      </c>
      <c r="O11" s="1"/>
      <c r="AK11">
        <v>32150</v>
      </c>
      <c r="AL11">
        <v>64033</v>
      </c>
    </row>
    <row r="12" spans="1:38" ht="18">
      <c r="A12" s="9" t="s">
        <v>19</v>
      </c>
      <c r="B12" s="5" t="s">
        <v>38</v>
      </c>
      <c r="C12" s="26">
        <v>53800</v>
      </c>
      <c r="D12" s="5">
        <v>4182.76</v>
      </c>
      <c r="E12" s="5">
        <v>231.57</v>
      </c>
      <c r="F12" s="5">
        <f>E12*H12</f>
        <v>2732526</v>
      </c>
      <c r="G12" s="5">
        <f>E12*I12</f>
        <v>179824062.50999999</v>
      </c>
      <c r="H12" s="87">
        <v>11800</v>
      </c>
      <c r="I12" s="66">
        <v>776543</v>
      </c>
      <c r="J12" s="5">
        <v>0.80684922466124631</v>
      </c>
      <c r="K12" s="5">
        <v>0.45445389381009232</v>
      </c>
      <c r="L12" s="10">
        <v>2328</v>
      </c>
      <c r="M12" s="10">
        <v>6814</v>
      </c>
      <c r="N12" s="5">
        <f t="shared" si="0"/>
        <v>2.9269759450171819</v>
      </c>
      <c r="O12" s="1"/>
      <c r="AK12">
        <v>25950</v>
      </c>
      <c r="AL12">
        <v>64664</v>
      </c>
    </row>
    <row r="13" spans="1:38" ht="18">
      <c r="A13" s="9" t="s">
        <v>24</v>
      </c>
      <c r="B13" s="5" t="s">
        <v>38</v>
      </c>
      <c r="C13" s="26">
        <v>76400</v>
      </c>
      <c r="D13" s="5">
        <v>6453.08</v>
      </c>
      <c r="E13" s="5">
        <v>315.24</v>
      </c>
      <c r="F13" s="5">
        <f>E13*H13</f>
        <v>3704070</v>
      </c>
      <c r="G13" s="5">
        <f>E13*I13</f>
        <v>248295318.36000001</v>
      </c>
      <c r="H13" s="87">
        <v>11750</v>
      </c>
      <c r="I13" s="66">
        <v>787639</v>
      </c>
      <c r="J13" s="5">
        <v>0.98345329269229775</v>
      </c>
      <c r="K13" s="5">
        <v>1.5069111756852274</v>
      </c>
      <c r="L13" s="10">
        <v>3029.9</v>
      </c>
      <c r="M13" s="10">
        <v>9365.9</v>
      </c>
      <c r="N13" s="5">
        <f t="shared" si="0"/>
        <v>3.0911581240304957</v>
      </c>
      <c r="O13" s="1"/>
      <c r="V13" t="s">
        <v>39</v>
      </c>
      <c r="AK13">
        <v>28200</v>
      </c>
      <c r="AL13">
        <v>62008</v>
      </c>
    </row>
    <row r="14" spans="1:38" ht="18">
      <c r="A14" s="9" t="s">
        <v>25</v>
      </c>
      <c r="B14" s="5" t="s">
        <v>38</v>
      </c>
      <c r="C14" s="26">
        <v>89500</v>
      </c>
      <c r="D14" s="5">
        <v>7630.64</v>
      </c>
      <c r="E14" s="5">
        <v>429.97</v>
      </c>
      <c r="F14" s="5">
        <f>E14*H14</f>
        <v>5095144.5</v>
      </c>
      <c r="G14" s="5">
        <f>E14*I14</f>
        <v>336227510.63</v>
      </c>
      <c r="H14" s="87">
        <v>11850</v>
      </c>
      <c r="I14" s="66">
        <v>781979</v>
      </c>
      <c r="J14" s="5">
        <v>1.3351465890761884</v>
      </c>
      <c r="K14" s="5">
        <v>1.2105293982493051</v>
      </c>
      <c r="L14" s="10">
        <v>3450.5</v>
      </c>
      <c r="M14" s="10">
        <v>10817.5</v>
      </c>
      <c r="N14" s="5">
        <f t="shared" si="0"/>
        <v>3.1350528908853788</v>
      </c>
      <c r="O14" s="1"/>
      <c r="AK14">
        <v>35974</v>
      </c>
      <c r="AL14">
        <v>62937</v>
      </c>
    </row>
    <row r="15" spans="1:38" ht="18">
      <c r="A15" s="9" t="s">
        <v>26</v>
      </c>
      <c r="B15" s="5" t="s">
        <v>38</v>
      </c>
      <c r="C15" s="26">
        <v>94800</v>
      </c>
      <c r="D15" s="5">
        <v>6391.84</v>
      </c>
      <c r="E15" s="5">
        <v>340.43</v>
      </c>
      <c r="F15" s="5">
        <f>E15*H15</f>
        <v>4085160</v>
      </c>
      <c r="G15" s="5">
        <f>E15*I15</f>
        <v>271519818.97000003</v>
      </c>
      <c r="H15" s="87">
        <v>12000</v>
      </c>
      <c r="I15" s="66">
        <v>797579</v>
      </c>
      <c r="J15" s="5">
        <v>1.0229542494229538</v>
      </c>
      <c r="K15" s="5">
        <v>1.2653557125500607</v>
      </c>
      <c r="L15" s="10">
        <v>3068.8</v>
      </c>
      <c r="M15" s="10">
        <v>8807.2999999999993</v>
      </c>
      <c r="N15" s="5">
        <f t="shared" si="0"/>
        <v>2.8699491657977054</v>
      </c>
      <c r="O15" s="1"/>
      <c r="AK15">
        <v>34890</v>
      </c>
      <c r="AL15">
        <v>63388</v>
      </c>
    </row>
    <row r="16" spans="1:38" ht="18">
      <c r="A16" s="9" t="s">
        <v>27</v>
      </c>
      <c r="B16" s="5" t="s">
        <v>38</v>
      </c>
      <c r="C16" s="26">
        <v>99200</v>
      </c>
      <c r="D16" s="5">
        <v>6010.86</v>
      </c>
      <c r="E16" s="5">
        <v>268.67</v>
      </c>
      <c r="F16" s="5">
        <f>E16*H16</f>
        <v>3277774</v>
      </c>
      <c r="G16" s="5">
        <f>E16*I16</f>
        <v>215062274.90000001</v>
      </c>
      <c r="H16" s="87">
        <v>12200</v>
      </c>
      <c r="I16" s="66">
        <v>800470</v>
      </c>
      <c r="J16" s="5">
        <v>0.98695404139477161</v>
      </c>
      <c r="K16" s="5">
        <v>0.89994203118912086</v>
      </c>
      <c r="L16" s="10">
        <v>2449</v>
      </c>
      <c r="M16" s="10">
        <v>7536.1</v>
      </c>
      <c r="N16" s="5">
        <f t="shared" si="0"/>
        <v>3.0772151898734177</v>
      </c>
      <c r="O16" s="1"/>
      <c r="AC16" t="s">
        <v>40</v>
      </c>
      <c r="AK16">
        <v>35700</v>
      </c>
      <c r="AL16">
        <v>66001</v>
      </c>
    </row>
    <row r="17" spans="1:29" ht="18">
      <c r="A17" s="79" t="s">
        <v>28</v>
      </c>
      <c r="B17" s="6" t="s">
        <v>38</v>
      </c>
      <c r="C17" s="48">
        <v>103700</v>
      </c>
      <c r="D17" s="6">
        <v>6145.51</v>
      </c>
      <c r="E17" s="6">
        <v>243.33</v>
      </c>
      <c r="F17" s="63">
        <f>E17*H17</f>
        <v>3005125.5</v>
      </c>
      <c r="G17" s="63">
        <f>E17*I17</f>
        <v>198523700.46000001</v>
      </c>
      <c r="H17" s="87">
        <v>12350</v>
      </c>
      <c r="I17" s="67">
        <v>815862</v>
      </c>
      <c r="J17" s="63">
        <v>0.93265193946113978</v>
      </c>
      <c r="K17" s="63">
        <v>0.94644901343957599</v>
      </c>
      <c r="L17" s="11">
        <v>2220.8000000000002</v>
      </c>
      <c r="M17" s="11">
        <v>6616.2</v>
      </c>
      <c r="N17" s="6">
        <f t="shared" si="0"/>
        <v>2.979196685878962</v>
      </c>
      <c r="O17" s="1" t="s">
        <v>41</v>
      </c>
      <c r="P17" t="s">
        <v>42</v>
      </c>
      <c r="Q17" t="s">
        <v>43</v>
      </c>
      <c r="R17" t="s">
        <v>44</v>
      </c>
      <c r="S17" t="s">
        <v>45</v>
      </c>
      <c r="T17" t="s">
        <v>46</v>
      </c>
      <c r="U17" t="s">
        <v>47</v>
      </c>
      <c r="V17" t="s">
        <v>48</v>
      </c>
      <c r="W17" t="s">
        <v>49</v>
      </c>
      <c r="X17" t="s">
        <v>50</v>
      </c>
      <c r="Y17" t="s">
        <v>51</v>
      </c>
      <c r="AC17" s="15">
        <v>280</v>
      </c>
    </row>
    <row r="18" spans="1:29" ht="18">
      <c r="A18" s="9" t="s">
        <v>14</v>
      </c>
      <c r="B18" s="5" t="s">
        <v>52</v>
      </c>
      <c r="C18" s="26">
        <v>50550</v>
      </c>
      <c r="D18" s="5">
        <v>13888.54</v>
      </c>
      <c r="E18" s="5">
        <v>2930</v>
      </c>
      <c r="F18" s="5">
        <f>E18*H18</f>
        <v>1930959.7622313674</v>
      </c>
      <c r="G18" s="5">
        <f>E18*I18</f>
        <v>13765162.94295839</v>
      </c>
      <c r="H18" s="28">
        <f>V18*Y18*0.06</f>
        <v>659.03063557384553</v>
      </c>
      <c r="I18" s="28">
        <f>U18*Y18*0.06</f>
        <v>4698.0078303612254</v>
      </c>
      <c r="J18" s="5">
        <f>O18/T18*100</f>
        <v>47.34415485444292</v>
      </c>
      <c r="K18" s="5">
        <f>X18/W18*100</f>
        <v>28.991531947652039</v>
      </c>
      <c r="L18" s="7">
        <v>1449.8019999999999</v>
      </c>
      <c r="M18" s="5">
        <f>O18*60/1000</f>
        <v>2982</v>
      </c>
      <c r="N18" s="5">
        <f t="shared" si="0"/>
        <v>2.0568325881741094</v>
      </c>
      <c r="O18" s="27">
        <v>49700</v>
      </c>
      <c r="Q18" s="27"/>
      <c r="T18" s="27">
        <v>104976</v>
      </c>
      <c r="U18" s="27">
        <v>165385</v>
      </c>
      <c r="V18" s="27">
        <v>23200</v>
      </c>
      <c r="W18" s="27">
        <v>142890</v>
      </c>
      <c r="X18" s="27">
        <v>41426</v>
      </c>
      <c r="Y18">
        <f>O18/T18</f>
        <v>0.47344154854442921</v>
      </c>
      <c r="AC18" s="16">
        <v>280</v>
      </c>
    </row>
    <row r="19" spans="1:29" ht="18">
      <c r="A19" s="9" t="s">
        <v>17</v>
      </c>
      <c r="B19" s="5" t="s">
        <v>52</v>
      </c>
      <c r="C19" s="26">
        <v>53470</v>
      </c>
      <c r="D19" s="5">
        <v>15065</v>
      </c>
      <c r="E19" s="5">
        <v>2880</v>
      </c>
      <c r="F19" s="5">
        <f>E19*H19</f>
        <v>1757643.8649337518</v>
      </c>
      <c r="G19" s="5">
        <f>E19*I19</f>
        <v>12366034.352158066</v>
      </c>
      <c r="H19" s="28">
        <f>V19*Y19*0.06</f>
        <v>610.29300865755272</v>
      </c>
      <c r="I19" s="28">
        <f>U19*Y19*0.06</f>
        <v>4293.761927832662</v>
      </c>
      <c r="J19" s="5">
        <f>O19/T19*100</f>
        <v>44.235670802350811</v>
      </c>
      <c r="K19" s="5">
        <f>X19/W19*100</f>
        <v>29.050811497355145</v>
      </c>
      <c r="L19" s="7">
        <v>1513.27336279057</v>
      </c>
      <c r="M19" s="5">
        <f t="shared" ref="M19:M25" si="1">O19*60/1000</f>
        <v>2520</v>
      </c>
      <c r="N19" s="5">
        <f t="shared" si="0"/>
        <v>1.6652642291627757</v>
      </c>
      <c r="O19" s="27">
        <v>42000</v>
      </c>
      <c r="T19" s="27">
        <v>94946</v>
      </c>
      <c r="U19" s="27">
        <v>161776</v>
      </c>
      <c r="V19" s="27">
        <v>22994</v>
      </c>
      <c r="W19" s="27">
        <v>138571</v>
      </c>
      <c r="X19" s="27">
        <v>40256</v>
      </c>
      <c r="Y19">
        <f>O19/T19</f>
        <v>0.44235670802350807</v>
      </c>
      <c r="AC19" s="15">
        <v>280</v>
      </c>
    </row>
    <row r="20" spans="1:29" ht="18">
      <c r="A20" s="9" t="s">
        <v>19</v>
      </c>
      <c r="B20" s="5" t="s">
        <v>52</v>
      </c>
      <c r="C20" s="26">
        <v>61400</v>
      </c>
      <c r="D20" s="26">
        <v>17411.25</v>
      </c>
      <c r="E20" s="5">
        <v>3320</v>
      </c>
      <c r="F20" s="5">
        <f>E20*H20</f>
        <v>2323187.3612369136</v>
      </c>
      <c r="G20" s="5">
        <f>E20*I20</f>
        <v>16881272.039264422</v>
      </c>
      <c r="H20" s="28">
        <f>V20*Y20*0.06</f>
        <v>699.75522928822693</v>
      </c>
      <c r="I20" s="28">
        <f>U20*Y20*0.06</f>
        <v>5084.7204937543438</v>
      </c>
      <c r="J20" s="5">
        <f>O20/T20*100</f>
        <v>52.345543782781789</v>
      </c>
      <c r="K20" s="5">
        <f>X20/W20*100</f>
        <v>31.639650872817953</v>
      </c>
      <c r="L20" s="7">
        <v>1433.1714999999999</v>
      </c>
      <c r="M20" s="5">
        <f t="shared" si="1"/>
        <v>2982</v>
      </c>
      <c r="N20" s="5">
        <f t="shared" si="0"/>
        <v>2.0807000418303043</v>
      </c>
      <c r="O20" s="27">
        <v>49700</v>
      </c>
      <c r="T20" s="27">
        <v>94946</v>
      </c>
      <c r="U20" s="27">
        <v>161896</v>
      </c>
      <c r="V20" s="27">
        <v>22280</v>
      </c>
      <c r="W20" s="27">
        <v>144360</v>
      </c>
      <c r="X20" s="27">
        <v>45675</v>
      </c>
      <c r="Y20">
        <f>O20/T20</f>
        <v>0.52345543782781789</v>
      </c>
      <c r="AC20" s="16">
        <v>390</v>
      </c>
    </row>
    <row r="21" spans="1:29" ht="18">
      <c r="A21" s="9" t="s">
        <v>24</v>
      </c>
      <c r="B21" s="5" t="s">
        <v>52</v>
      </c>
      <c r="C21" s="26">
        <v>81500</v>
      </c>
      <c r="D21" s="5">
        <v>26354.84</v>
      </c>
      <c r="E21" s="5">
        <v>4510</v>
      </c>
      <c r="F21" s="5">
        <f>E21*H21</f>
        <v>2526673.0080722016</v>
      </c>
      <c r="G21" s="5">
        <f>E21*I21</f>
        <v>18908539.548278194</v>
      </c>
      <c r="H21" s="28">
        <f>V21*Y21*0.06</f>
        <v>560.2379175326389</v>
      </c>
      <c r="I21" s="28">
        <f>U21*Y21*0.06</f>
        <v>4192.5808311038127</v>
      </c>
      <c r="J21" s="5">
        <f>O21/T21*100</f>
        <v>41.796323301450236</v>
      </c>
      <c r="K21" s="5">
        <f>X21/W21*100</f>
        <v>27.57089858133363</v>
      </c>
      <c r="L21" s="7">
        <v>1452.5773999999999</v>
      </c>
      <c r="M21" s="5">
        <f t="shared" si="1"/>
        <v>2184</v>
      </c>
      <c r="N21" s="5">
        <f t="shared" si="0"/>
        <v>1.503534338342315</v>
      </c>
      <c r="O21" s="27">
        <v>36400</v>
      </c>
      <c r="P21" t="s">
        <v>53</v>
      </c>
      <c r="R21" s="27">
        <v>22450</v>
      </c>
      <c r="T21" s="27">
        <v>87089</v>
      </c>
      <c r="U21" s="27">
        <v>167183</v>
      </c>
      <c r="V21" s="27">
        <v>22340</v>
      </c>
      <c r="W21" s="27">
        <v>143938</v>
      </c>
      <c r="X21" s="27">
        <v>39685</v>
      </c>
      <c r="Y21">
        <f>O21/T21</f>
        <v>0.41796323301450239</v>
      </c>
      <c r="AC21" s="15">
        <v>410</v>
      </c>
    </row>
    <row r="22" spans="1:29" ht="18">
      <c r="A22" s="9" t="s">
        <v>25</v>
      </c>
      <c r="B22" s="5" t="s">
        <v>52</v>
      </c>
      <c r="C22" s="26">
        <v>98600</v>
      </c>
      <c r="D22" s="5">
        <v>31075.919999999998</v>
      </c>
      <c r="E22" s="5">
        <v>5630</v>
      </c>
      <c r="F22" s="5">
        <f>E22*H22</f>
        <v>3438338.607703086</v>
      </c>
      <c r="G22" s="5">
        <f>E22*I22</f>
        <v>25845585.452308532</v>
      </c>
      <c r="H22" s="28">
        <f>V22*Y22*0.06</f>
        <v>610.71733706981991</v>
      </c>
      <c r="I22" s="28">
        <f>U22*Y22*0.06</f>
        <v>4590.6901336249612</v>
      </c>
      <c r="J22" s="5">
        <f>O22/T22*100</f>
        <v>45.339074763906453</v>
      </c>
      <c r="K22" s="5">
        <f>X22/W22*100</f>
        <v>25.19429826089987</v>
      </c>
      <c r="L22" s="7">
        <v>1485.9659999999999</v>
      </c>
      <c r="M22" s="5">
        <f t="shared" si="1"/>
        <v>2388</v>
      </c>
      <c r="N22" s="5">
        <f t="shared" si="0"/>
        <v>1.607035423421532</v>
      </c>
      <c r="O22" s="27">
        <v>39800</v>
      </c>
      <c r="P22" s="27">
        <v>163968</v>
      </c>
      <c r="R22" s="27">
        <v>22160</v>
      </c>
      <c r="T22" s="27">
        <v>87783</v>
      </c>
      <c r="U22" s="27">
        <v>168754</v>
      </c>
      <c r="V22" s="27">
        <v>22450</v>
      </c>
      <c r="W22" s="27">
        <v>143465</v>
      </c>
      <c r="X22" s="27">
        <v>36145</v>
      </c>
      <c r="Y22">
        <f>O22/T22</f>
        <v>0.45339074763906451</v>
      </c>
      <c r="AC22" s="16">
        <v>520</v>
      </c>
    </row>
    <row r="23" spans="1:29" ht="18">
      <c r="A23" s="9" t="s">
        <v>26</v>
      </c>
      <c r="B23" s="5" t="s">
        <v>52</v>
      </c>
      <c r="C23" s="26">
        <v>104500</v>
      </c>
      <c r="D23" s="5">
        <v>26929.7</v>
      </c>
      <c r="E23" s="5">
        <v>4540</v>
      </c>
      <c r="F23" s="5">
        <f>E23*H23</f>
        <v>2787264.9280131627</v>
      </c>
      <c r="G23" s="5">
        <f>E23*I23</f>
        <v>20623748.001645412</v>
      </c>
      <c r="H23" s="28">
        <f>V23*Y23*0.06</f>
        <v>613.9350061703002</v>
      </c>
      <c r="I23" s="28">
        <f>U23*Y23*0.06</f>
        <v>4542.675771287536</v>
      </c>
      <c r="J23" s="5">
        <f>O23/T23*100</f>
        <v>46.174413821472641</v>
      </c>
      <c r="K23" s="5">
        <f>X23/W23*100</f>
        <v>31.722228630753257</v>
      </c>
      <c r="L23" s="7">
        <v>1508.7439999999999</v>
      </c>
      <c r="M23" s="5">
        <f t="shared" si="1"/>
        <v>2694</v>
      </c>
      <c r="N23" s="5">
        <f t="shared" si="0"/>
        <v>1.7855911937346562</v>
      </c>
      <c r="O23" s="27">
        <v>44900</v>
      </c>
      <c r="P23" s="27">
        <v>171556</v>
      </c>
      <c r="R23" s="27">
        <v>21970</v>
      </c>
      <c r="T23" s="27">
        <v>97240</v>
      </c>
      <c r="U23" s="27">
        <v>163968</v>
      </c>
      <c r="V23" s="27">
        <v>22160</v>
      </c>
      <c r="W23" s="27">
        <v>147373</v>
      </c>
      <c r="X23" s="27">
        <v>46750</v>
      </c>
      <c r="Y23">
        <f>O23/T23</f>
        <v>0.46174413821472643</v>
      </c>
      <c r="AC23" s="15">
        <v>450</v>
      </c>
    </row>
    <row r="24" spans="1:29" ht="18">
      <c r="A24" s="9" t="s">
        <v>27</v>
      </c>
      <c r="B24" s="5" t="s">
        <v>52</v>
      </c>
      <c r="C24" s="26">
        <v>108600</v>
      </c>
      <c r="D24" s="5">
        <v>24258.35</v>
      </c>
      <c r="E24" s="5">
        <v>5620</v>
      </c>
      <c r="F24" s="5">
        <f>E24*H24</f>
        <v>3253041.2861890364</v>
      </c>
      <c r="G24" s="5">
        <f>E24*I24</f>
        <v>25401854.842669379</v>
      </c>
      <c r="H24" s="28">
        <f>V24*Y24*0.06</f>
        <v>578.83296907278225</v>
      </c>
      <c r="I24" s="28">
        <f>U24*Y24*0.06</f>
        <v>4519.9029969162593</v>
      </c>
      <c r="J24" s="5">
        <f>O24/T24*100</f>
        <v>43.910860952266901</v>
      </c>
      <c r="K24" s="5">
        <f>X24/W24*100</f>
        <v>30.127985026896383</v>
      </c>
      <c r="L24" s="7">
        <v>1486.837</v>
      </c>
      <c r="M24" s="5">
        <f t="shared" si="1"/>
        <v>2640</v>
      </c>
      <c r="N24" s="5">
        <f t="shared" si="0"/>
        <v>1.7755813179252333</v>
      </c>
      <c r="O24" s="27">
        <v>44000</v>
      </c>
      <c r="P24" s="27">
        <v>169363</v>
      </c>
      <c r="R24" s="27">
        <v>22280</v>
      </c>
      <c r="T24" s="27">
        <v>100203</v>
      </c>
      <c r="U24" s="27">
        <v>171556</v>
      </c>
      <c r="V24" s="27">
        <v>21970</v>
      </c>
      <c r="W24" s="27">
        <v>148533</v>
      </c>
      <c r="X24" s="27">
        <v>44750</v>
      </c>
      <c r="Y24">
        <f>O24/T24</f>
        <v>0.439108609522669</v>
      </c>
      <c r="AC24" s="16">
        <v>370</v>
      </c>
    </row>
    <row r="25" spans="1:29" ht="18">
      <c r="A25" s="79" t="s">
        <v>28</v>
      </c>
      <c r="B25" s="6" t="s">
        <v>52</v>
      </c>
      <c r="C25" s="51">
        <v>112400</v>
      </c>
      <c r="D25" s="6">
        <v>27082.23</v>
      </c>
      <c r="E25" s="6">
        <v>8470</v>
      </c>
      <c r="F25" s="63">
        <f>E25*H25</f>
        <v>4504658.4096738733</v>
      </c>
      <c r="G25" s="63">
        <f>E25*I25</f>
        <v>35150084.104067422</v>
      </c>
      <c r="H25" s="52">
        <f>V25*Y25*0.06</f>
        <v>531.83688425901687</v>
      </c>
      <c r="I25" s="52">
        <f>U25*Y25*0.06</f>
        <v>4149.9508977647492</v>
      </c>
      <c r="J25" s="63">
        <f>O25/T25*100</f>
        <v>39.784327069046746</v>
      </c>
      <c r="K25" s="63">
        <f>X25/W25*100</f>
        <v>27.149472001065995</v>
      </c>
      <c r="L25" s="8">
        <v>1548.3710000000001</v>
      </c>
      <c r="M25" s="5">
        <f t="shared" si="1"/>
        <v>2280</v>
      </c>
      <c r="N25" s="6">
        <f t="shared" si="0"/>
        <v>1.472515308023723</v>
      </c>
      <c r="O25" s="27">
        <v>38000</v>
      </c>
      <c r="P25" s="27">
        <v>173852</v>
      </c>
      <c r="R25" s="27">
        <v>22280</v>
      </c>
      <c r="T25" s="27">
        <v>95515</v>
      </c>
      <c r="U25" s="27">
        <v>173852</v>
      </c>
      <c r="V25" s="27">
        <v>22280</v>
      </c>
      <c r="W25" s="27">
        <v>150095</v>
      </c>
      <c r="X25" s="27">
        <v>40750</v>
      </c>
      <c r="Y25">
        <f>O25/T25</f>
        <v>0.39784327069046749</v>
      </c>
    </row>
    <row r="26" spans="1:29" ht="18">
      <c r="A26" s="9" t="s">
        <v>14</v>
      </c>
      <c r="B26" s="5" t="s">
        <v>54</v>
      </c>
      <c r="C26" s="28">
        <v>53261.46</v>
      </c>
      <c r="D26" s="28">
        <v>18739.91</v>
      </c>
      <c r="E26" s="5">
        <v>790</v>
      </c>
      <c r="F26" s="5">
        <f>E26*H26</f>
        <v>15268330</v>
      </c>
      <c r="G26" s="5">
        <f>E26*I26</f>
        <v>23944900</v>
      </c>
      <c r="H26" s="66">
        <v>19327</v>
      </c>
      <c r="I26" s="66">
        <v>30310</v>
      </c>
      <c r="J26" s="87">
        <v>63.368201798048794</v>
      </c>
      <c r="K26" s="87">
        <v>69.78871466634763</v>
      </c>
      <c r="L26" s="92">
        <v>601.5</v>
      </c>
      <c r="M26" s="5">
        <v>11.667999999999999</v>
      </c>
      <c r="N26" s="5">
        <f t="shared" si="0"/>
        <v>1.9398171238570239E-2</v>
      </c>
      <c r="O26" s="1"/>
    </row>
    <row r="27" spans="1:29" ht="18">
      <c r="A27" s="9" t="s">
        <v>17</v>
      </c>
      <c r="B27" s="5" t="s">
        <v>54</v>
      </c>
      <c r="C27" s="28">
        <v>49630.31</v>
      </c>
      <c r="D27" s="28">
        <v>19842.34</v>
      </c>
      <c r="E27" s="5">
        <v>560</v>
      </c>
      <c r="F27" s="5">
        <f>E27*H27</f>
        <v>8338960</v>
      </c>
      <c r="G27" s="5">
        <f>E27*I27</f>
        <v>16478000</v>
      </c>
      <c r="H27" s="66">
        <v>14891</v>
      </c>
      <c r="I27" s="66">
        <v>29425</v>
      </c>
      <c r="J27" s="87">
        <v>63.829541100984734</v>
      </c>
      <c r="K27" s="87">
        <v>72.674316643961788</v>
      </c>
      <c r="L27" s="92">
        <v>595.79999999999995</v>
      </c>
      <c r="M27" s="5">
        <v>15.781000000000001</v>
      </c>
      <c r="N27" s="5">
        <f t="shared" si="0"/>
        <v>2.6487076200067138E-2</v>
      </c>
      <c r="O27" s="1"/>
    </row>
    <row r="28" spans="1:29" ht="18">
      <c r="A28" s="9" t="s">
        <v>19</v>
      </c>
      <c r="B28" s="5" t="s">
        <v>54</v>
      </c>
      <c r="C28" s="28">
        <v>55314.48</v>
      </c>
      <c r="D28" s="28">
        <v>20786.68</v>
      </c>
      <c r="E28" s="5">
        <v>600</v>
      </c>
      <c r="F28" s="5">
        <f>E28*H28</f>
        <v>8820000</v>
      </c>
      <c r="G28" s="5">
        <f>E28*I28</f>
        <v>18069600</v>
      </c>
      <c r="H28" s="66">
        <v>14700</v>
      </c>
      <c r="I28" s="66">
        <v>30116</v>
      </c>
      <c r="J28" s="87">
        <v>60.545499558094818</v>
      </c>
      <c r="K28" s="87">
        <v>68.972487489346818</v>
      </c>
      <c r="L28" s="92">
        <v>595.70000000000005</v>
      </c>
      <c r="M28" s="5">
        <v>10.96</v>
      </c>
      <c r="N28" s="5">
        <f t="shared" si="0"/>
        <v>1.8398522746348834E-2</v>
      </c>
      <c r="O28" s="1"/>
    </row>
    <row r="29" spans="1:29" ht="18">
      <c r="A29" s="9" t="s">
        <v>24</v>
      </c>
      <c r="B29" s="5" t="s">
        <v>54</v>
      </c>
      <c r="C29" s="28">
        <v>52971.88</v>
      </c>
      <c r="D29" s="28">
        <v>25223.82</v>
      </c>
      <c r="E29" s="5">
        <v>650</v>
      </c>
      <c r="F29" s="5">
        <f>E29*H29</f>
        <v>11024000</v>
      </c>
      <c r="G29" s="5">
        <f>E29*I29</f>
        <v>20044050</v>
      </c>
      <c r="H29" s="66">
        <v>16960</v>
      </c>
      <c r="I29" s="66">
        <v>30837</v>
      </c>
      <c r="J29" s="87">
        <v>67.22432252986151</v>
      </c>
      <c r="K29" s="87">
        <v>71.099938686288837</v>
      </c>
      <c r="L29" s="92">
        <v>604.4</v>
      </c>
      <c r="M29" s="5">
        <v>10.728999999999999</v>
      </c>
      <c r="N29" s="5">
        <f t="shared" si="0"/>
        <v>1.7751489080079418E-2</v>
      </c>
      <c r="O29" s="1"/>
    </row>
    <row r="30" spans="1:29" ht="18">
      <c r="A30" s="9" t="s">
        <v>25</v>
      </c>
      <c r="B30" s="5" t="s">
        <v>54</v>
      </c>
      <c r="C30" s="28">
        <v>85401.25</v>
      </c>
      <c r="D30" s="28">
        <v>32173.119999999999</v>
      </c>
      <c r="E30" s="5">
        <v>920</v>
      </c>
      <c r="F30" s="5">
        <f>E30*H30</f>
        <v>14268280</v>
      </c>
      <c r="G30" s="5">
        <f>E30*I30</f>
        <v>27862200</v>
      </c>
      <c r="H30" s="66">
        <v>15509</v>
      </c>
      <c r="I30" s="66">
        <v>30285</v>
      </c>
      <c r="J30" s="87">
        <v>74.843103662080722</v>
      </c>
      <c r="K30" s="87">
        <v>73.694159938124756</v>
      </c>
      <c r="L30" s="92">
        <v>600</v>
      </c>
      <c r="M30" s="5">
        <v>12.82</v>
      </c>
      <c r="N30" s="5">
        <f t="shared" si="0"/>
        <v>2.1366666666666666E-2</v>
      </c>
      <c r="O30" s="1"/>
    </row>
    <row r="31" spans="1:29" ht="18">
      <c r="A31" s="9" t="s">
        <v>26</v>
      </c>
      <c r="B31" s="5" t="s">
        <v>54</v>
      </c>
      <c r="C31" s="28">
        <v>98218.85</v>
      </c>
      <c r="D31" s="28">
        <v>33350.769999999997</v>
      </c>
      <c r="E31" s="5">
        <v>1570</v>
      </c>
      <c r="F31" s="5">
        <f>E31*H31</f>
        <v>19395780</v>
      </c>
      <c r="G31" s="5">
        <f>E31*I31</f>
        <v>46245920</v>
      </c>
      <c r="H31" s="66">
        <v>12354</v>
      </c>
      <c r="I31" s="66">
        <v>29456</v>
      </c>
      <c r="J31" s="87">
        <v>66.877148528913338</v>
      </c>
      <c r="K31" s="87">
        <v>68.884462222033093</v>
      </c>
      <c r="L31" s="92">
        <v>590</v>
      </c>
      <c r="M31" s="5">
        <v>12.535</v>
      </c>
      <c r="N31" s="5">
        <f t="shared" si="0"/>
        <v>2.1245762711864406E-2</v>
      </c>
      <c r="O31" s="1"/>
    </row>
    <row r="32" spans="1:29" ht="18">
      <c r="A32" s="9" t="s">
        <v>27</v>
      </c>
      <c r="B32" s="5" t="s">
        <v>54</v>
      </c>
      <c r="C32" s="28">
        <v>96166.67</v>
      </c>
      <c r="D32" s="28">
        <v>37684.31</v>
      </c>
      <c r="E32" s="5">
        <v>2260</v>
      </c>
      <c r="F32" s="5">
        <f>E32*H32</f>
        <v>29470400</v>
      </c>
      <c r="G32" s="5">
        <f>E32*I32</f>
        <v>64712840</v>
      </c>
      <c r="H32" s="66">
        <v>13040</v>
      </c>
      <c r="I32" s="66">
        <v>28634</v>
      </c>
      <c r="J32" s="87">
        <v>75.56770533340098</v>
      </c>
      <c r="K32" s="87">
        <v>77.04610294569035</v>
      </c>
      <c r="L32" s="92">
        <v>590</v>
      </c>
      <c r="M32" s="5">
        <v>9.4190000000000005</v>
      </c>
      <c r="N32" s="5">
        <f t="shared" si="0"/>
        <v>1.5964406779661017E-2</v>
      </c>
      <c r="O32" s="1"/>
    </row>
    <row r="33" spans="1:31" ht="18">
      <c r="A33" s="79" t="s">
        <v>28</v>
      </c>
      <c r="B33" s="63" t="s">
        <v>54</v>
      </c>
      <c r="C33" s="30">
        <v>111764.79</v>
      </c>
      <c r="D33" s="52">
        <v>43278.86</v>
      </c>
      <c r="E33" s="6">
        <v>1420</v>
      </c>
      <c r="F33" s="63">
        <f>E33*H33</f>
        <v>19248100</v>
      </c>
      <c r="G33" s="63">
        <f>E33*I33</f>
        <v>40431660</v>
      </c>
      <c r="H33" s="67">
        <v>13555</v>
      </c>
      <c r="I33" s="67">
        <v>28473</v>
      </c>
      <c r="J33" s="68">
        <v>76.381161292996396</v>
      </c>
      <c r="K33" s="68">
        <v>76.482579018754521</v>
      </c>
      <c r="L33" s="92">
        <v>590</v>
      </c>
      <c r="M33" s="63">
        <v>11.952</v>
      </c>
      <c r="N33" s="6">
        <f t="shared" si="0"/>
        <v>2.0257627118644067E-2</v>
      </c>
      <c r="O33" s="1"/>
    </row>
    <row r="34" spans="1:31" ht="18">
      <c r="A34" s="9" t="s">
        <v>14</v>
      </c>
      <c r="B34" s="5" t="s">
        <v>55</v>
      </c>
      <c r="C34" s="28">
        <f>N34*O34</f>
        <v>940548.07919175399</v>
      </c>
      <c r="D34" s="28">
        <v>361170.55486929556</v>
      </c>
      <c r="E34" s="28">
        <f>F34/M34</f>
        <v>38.460991744228231</v>
      </c>
      <c r="F34" s="28">
        <v>23862560.528000001</v>
      </c>
      <c r="G34" s="28">
        <f>F34/J34</f>
        <v>78566999.166340321</v>
      </c>
      <c r="H34" s="28">
        <v>618362.43396637763</v>
      </c>
      <c r="I34" s="69">
        <f>H34/J34</f>
        <v>2035945.8397989636</v>
      </c>
      <c r="J34" s="32">
        <f>(M34*1000)/'Açúcar e Etanol'!O25</f>
        <v>0.30372243793451642</v>
      </c>
      <c r="K34" s="32">
        <f>AK9/AL9</f>
        <v>0.33627863086557436</v>
      </c>
      <c r="L34" s="76">
        <v>8589.2300000000014</v>
      </c>
      <c r="M34" s="76">
        <v>620435.39300000004</v>
      </c>
      <c r="N34" s="28">
        <f t="shared" ref="N34:N41" si="2">M34/L34</f>
        <v>72.234110973859117</v>
      </c>
      <c r="O34" s="28">
        <v>13020.83</v>
      </c>
    </row>
    <row r="35" spans="1:31" ht="18">
      <c r="A35" s="9" t="s">
        <v>17</v>
      </c>
      <c r="B35" s="5" t="s">
        <v>55</v>
      </c>
      <c r="C35" s="28">
        <f>N35*O35</f>
        <v>1057405.269870609</v>
      </c>
      <c r="D35" s="28">
        <v>411119.13603616192</v>
      </c>
      <c r="E35" s="28">
        <f>F35/M35</f>
        <v>37.854908908602575</v>
      </c>
      <c r="F35" s="28">
        <v>24330022.713</v>
      </c>
      <c r="G35" s="28">
        <f>F35/J35</f>
        <v>78437078.689148888</v>
      </c>
      <c r="H35" s="28">
        <v>615882.14211875852</v>
      </c>
      <c r="I35" s="69">
        <f t="shared" ref="I35:I41" si="3">H35/J35</f>
        <v>1985530.2485516691</v>
      </c>
      <c r="J35" s="32">
        <f>(M35*1000)/'Açúcar e Etanol'!O26</f>
        <v>0.31018522259633635</v>
      </c>
      <c r="K35" s="32">
        <f t="shared" ref="K35:K41" si="4">AK10/AL10</f>
        <v>0.36021224123757567</v>
      </c>
      <c r="L35" s="76">
        <v>8442.02</v>
      </c>
      <c r="M35" s="76">
        <v>642717.772</v>
      </c>
      <c r="N35" s="28">
        <f t="shared" si="2"/>
        <v>76.133173340029984</v>
      </c>
      <c r="O35" s="28">
        <v>13888.89</v>
      </c>
      <c r="Q35" s="5"/>
      <c r="U35" s="16"/>
      <c r="V35" s="16"/>
    </row>
    <row r="36" spans="1:31" ht="18">
      <c r="A36" s="9" t="s">
        <v>19</v>
      </c>
      <c r="B36" s="5" t="s">
        <v>55</v>
      </c>
      <c r="C36" s="28">
        <f>N36*O36</f>
        <v>564924.45141131233</v>
      </c>
      <c r="D36" s="28">
        <v>631874.3796996841</v>
      </c>
      <c r="E36" s="28">
        <f>F36/M36</f>
        <v>36.264488717136224</v>
      </c>
      <c r="F36" s="28">
        <v>23656266.001999997</v>
      </c>
      <c r="G36" s="28">
        <f>F36/J36</f>
        <v>72196329.295548841</v>
      </c>
      <c r="H36" s="28">
        <v>614673.82202433178</v>
      </c>
      <c r="I36" s="69">
        <f t="shared" si="3"/>
        <v>1875917.089386398</v>
      </c>
      <c r="J36" s="32">
        <f>(M36*1000)/'Açúcar e Etanol'!O27</f>
        <v>0.32766577238516875</v>
      </c>
      <c r="K36" s="32">
        <f t="shared" si="4"/>
        <v>0.50208486249277717</v>
      </c>
      <c r="L36" s="76">
        <v>8620.26</v>
      </c>
      <c r="M36" s="76">
        <v>652325.92099999997</v>
      </c>
      <c r="N36" s="28">
        <f t="shared" si="2"/>
        <v>75.673578407147801</v>
      </c>
      <c r="O36" s="28">
        <v>7465.28</v>
      </c>
      <c r="Q36" s="5">
        <f>S36*60/1000</f>
        <v>0</v>
      </c>
    </row>
    <row r="37" spans="1:31" ht="18">
      <c r="A37" s="9" t="s">
        <v>24</v>
      </c>
      <c r="B37" s="5" t="s">
        <v>55</v>
      </c>
      <c r="C37" s="28">
        <f>N37*O37</f>
        <v>908255.02787994884</v>
      </c>
      <c r="D37" s="28">
        <v>510037.28133377904</v>
      </c>
      <c r="E37" s="28">
        <f>F37/M37</f>
        <v>52.44427785251569</v>
      </c>
      <c r="F37" s="28">
        <v>30690868.143999998</v>
      </c>
      <c r="G37" s="28">
        <f>F37/J37</f>
        <v>207917154.86826536</v>
      </c>
      <c r="H37" s="28">
        <v>533706.76204364304</v>
      </c>
      <c r="I37" s="69">
        <f t="shared" si="3"/>
        <v>3615628.9544309406</v>
      </c>
      <c r="J37" s="32">
        <f>(M37*1000)/'Açúcar e Etanol'!O28</f>
        <v>0.1476110432707945</v>
      </c>
      <c r="K37" s="32">
        <f t="shared" si="4"/>
        <v>0.40130520846220463</v>
      </c>
      <c r="L37" s="76">
        <v>8317.989999999998</v>
      </c>
      <c r="M37" s="76">
        <v>585209.09049999993</v>
      </c>
      <c r="N37" s="28">
        <f t="shared" si="2"/>
        <v>70.354627800706666</v>
      </c>
      <c r="O37" s="28">
        <v>12909.67</v>
      </c>
      <c r="S37" t="s">
        <v>56</v>
      </c>
    </row>
    <row r="38" spans="1:31" ht="18">
      <c r="A38" s="9" t="s">
        <v>25</v>
      </c>
      <c r="B38" s="5" t="s">
        <v>55</v>
      </c>
      <c r="C38" s="28">
        <f>N38*O38</f>
        <v>1257941.1892193791</v>
      </c>
      <c r="D38" s="28">
        <v>787830.69885101111</v>
      </c>
      <c r="E38" s="28">
        <f>F38/M38</f>
        <v>55.350532224896256</v>
      </c>
      <c r="F38" s="28">
        <v>33771095.890000001</v>
      </c>
      <c r="G38" s="28">
        <f>F38/J38</f>
        <v>112088394.94777039</v>
      </c>
      <c r="H38" s="28">
        <v>605679.96761501231</v>
      </c>
      <c r="I38" s="69">
        <f t="shared" si="3"/>
        <v>2010289.9723217799</v>
      </c>
      <c r="J38" s="32">
        <f>(M38*1000)/'Açúcar e Etanol'!O29</f>
        <v>0.30128985169014377</v>
      </c>
      <c r="K38" s="32">
        <f t="shared" si="4"/>
        <v>0.4547800283834344</v>
      </c>
      <c r="L38" s="76">
        <v>8288.8669200000022</v>
      </c>
      <c r="M38" s="76">
        <v>610131.36699000001</v>
      </c>
      <c r="N38" s="28">
        <f t="shared" si="2"/>
        <v>73.608536954288539</v>
      </c>
      <c r="O38" s="28">
        <v>17089.61</v>
      </c>
    </row>
    <row r="39" spans="1:31" ht="18">
      <c r="A39" s="9" t="s">
        <v>26</v>
      </c>
      <c r="B39" s="5" t="s">
        <v>55</v>
      </c>
      <c r="C39" s="28">
        <f>N39*O39</f>
        <v>1500160.4529399532</v>
      </c>
      <c r="D39" s="28">
        <v>802371.06324354757</v>
      </c>
      <c r="E39" s="28">
        <f>F39/M39</f>
        <v>56.720920133971049</v>
      </c>
      <c r="F39" s="28">
        <v>40454161.506999999</v>
      </c>
      <c r="G39" s="28">
        <f>F39/J39</f>
        <v>120387399.35384379</v>
      </c>
      <c r="H39" s="28">
        <v>660290.55747308198</v>
      </c>
      <c r="I39" s="69">
        <f t="shared" si="3"/>
        <v>1964956.386954884</v>
      </c>
      <c r="J39" s="32">
        <f>(M39*1000)/'Açúcar e Etanol'!O30</f>
        <v>0.33603318722831399</v>
      </c>
      <c r="K39" s="32">
        <f t="shared" si="4"/>
        <v>0.57158746047634934</v>
      </c>
      <c r="L39" s="76">
        <v>8333.9285132178193</v>
      </c>
      <c r="M39" s="76">
        <v>713214.12648895604</v>
      </c>
      <c r="N39" s="28">
        <f t="shared" si="2"/>
        <v>85.579582949119441</v>
      </c>
      <c r="O39" s="28">
        <v>17529.419999999998</v>
      </c>
      <c r="S39" s="18" t="s">
        <v>21</v>
      </c>
      <c r="T39" s="19" t="s">
        <v>22</v>
      </c>
      <c r="U39" s="19"/>
      <c r="V39" s="19" t="s">
        <v>23</v>
      </c>
      <c r="W39" s="19" t="s">
        <v>14</v>
      </c>
      <c r="X39" s="19" t="s">
        <v>17</v>
      </c>
      <c r="Y39" s="19" t="s">
        <v>19</v>
      </c>
      <c r="Z39" s="19" t="s">
        <v>24</v>
      </c>
      <c r="AA39" s="19" t="s">
        <v>25</v>
      </c>
      <c r="AB39" s="19" t="s">
        <v>26</v>
      </c>
      <c r="AC39" s="19" t="s">
        <v>27</v>
      </c>
      <c r="AD39" s="19" t="s">
        <v>28</v>
      </c>
      <c r="AE39" s="20" t="s">
        <v>29</v>
      </c>
    </row>
    <row r="40" spans="1:31" ht="28.5">
      <c r="A40" s="9" t="s">
        <v>27</v>
      </c>
      <c r="B40" s="5" t="s">
        <v>55</v>
      </c>
      <c r="C40" s="28">
        <f>N40*O40</f>
        <v>932568.3154485171</v>
      </c>
      <c r="D40" s="28">
        <v>832156.8278517517</v>
      </c>
      <c r="E40" s="28">
        <f>F40/M40</f>
        <v>52.675257423472679</v>
      </c>
      <c r="F40" s="28">
        <v>36190991.629000001</v>
      </c>
      <c r="G40" s="28">
        <f>F40/J40</f>
        <v>107207515.34556131</v>
      </c>
      <c r="H40" s="28">
        <v>612546.24545727612</v>
      </c>
      <c r="I40" s="70">
        <f t="shared" si="3"/>
        <v>1814527.8162841382</v>
      </c>
      <c r="J40" s="32">
        <f>(M40*1000)/'Açúcar e Etanol'!O31</f>
        <v>0.33757886760406491</v>
      </c>
      <c r="K40" s="32">
        <f t="shared" si="4"/>
        <v>0.55041963778633185</v>
      </c>
      <c r="L40" s="76">
        <v>8853.8317801002322</v>
      </c>
      <c r="M40" s="76">
        <v>687058.65712338965</v>
      </c>
      <c r="N40" s="28">
        <f t="shared" si="2"/>
        <v>77.600148070083577</v>
      </c>
      <c r="O40" s="28">
        <v>12017.61</v>
      </c>
      <c r="S40" s="17" t="s">
        <v>31</v>
      </c>
      <c r="T40" s="17" t="s">
        <v>37</v>
      </c>
      <c r="U40" s="17"/>
      <c r="V40" s="17" t="s">
        <v>33</v>
      </c>
      <c r="W40" s="12">
        <v>10600</v>
      </c>
      <c r="X40" s="12">
        <v>10650</v>
      </c>
      <c r="Y40" s="12">
        <v>10150</v>
      </c>
      <c r="Z40" s="12">
        <v>9500</v>
      </c>
      <c r="AA40" s="12">
        <v>9500</v>
      </c>
      <c r="AB40" s="12">
        <v>9500</v>
      </c>
      <c r="AC40" s="12">
        <v>9000</v>
      </c>
      <c r="AD40" s="12">
        <v>9000</v>
      </c>
      <c r="AE40" s="17" t="s">
        <v>34</v>
      </c>
    </row>
    <row r="41" spans="1:31" ht="28.5">
      <c r="A41" s="79" t="s">
        <v>28</v>
      </c>
      <c r="B41" s="6" t="s">
        <v>55</v>
      </c>
      <c r="C41" s="28">
        <f>N41*O41</f>
        <v>1748096.8245028374</v>
      </c>
      <c r="D41" s="52">
        <v>641430.71689519542</v>
      </c>
      <c r="E41" s="52">
        <f>F41/M41</f>
        <v>52.134415472350739</v>
      </c>
      <c r="F41" s="52">
        <v>35101259.581999995</v>
      </c>
      <c r="G41" s="52">
        <f>F41/J41</f>
        <v>100289313.09142856</v>
      </c>
      <c r="H41" s="30">
        <v>605460.19469125383</v>
      </c>
      <c r="I41" s="71">
        <f t="shared" si="3"/>
        <v>1729886.2705464396</v>
      </c>
      <c r="J41" s="77">
        <v>0.35</v>
      </c>
      <c r="K41" s="77">
        <f t="shared" si="4"/>
        <v>0.54090089544097819</v>
      </c>
      <c r="L41" s="78">
        <v>8954.6451551279642</v>
      </c>
      <c r="M41" s="78">
        <v>673283.84262053913</v>
      </c>
      <c r="N41" s="30">
        <f t="shared" si="2"/>
        <v>75.188221415449007</v>
      </c>
      <c r="O41" s="30">
        <v>23249.61</v>
      </c>
      <c r="S41" s="14"/>
      <c r="T41" s="14"/>
      <c r="U41" s="14"/>
      <c r="V41" s="14" t="s">
        <v>35</v>
      </c>
      <c r="W41" s="13">
        <v>171979</v>
      </c>
      <c r="X41" s="13">
        <v>171456</v>
      </c>
      <c r="Y41" s="13">
        <v>171275</v>
      </c>
      <c r="Z41" s="13">
        <v>174026</v>
      </c>
      <c r="AA41" s="13">
        <v>176568</v>
      </c>
      <c r="AB41" s="13">
        <v>177015</v>
      </c>
      <c r="AC41" s="13">
        <v>175772</v>
      </c>
      <c r="AD41" s="13">
        <v>178113</v>
      </c>
      <c r="AE41" s="14" t="s">
        <v>34</v>
      </c>
    </row>
    <row r="42" spans="1:31" ht="16.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31" ht="16.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31" ht="16.5">
      <c r="A44" s="3"/>
      <c r="B44" s="1"/>
      <c r="C44" s="1"/>
      <c r="D44" s="1"/>
      <c r="E44" s="1"/>
      <c r="F44" s="1"/>
      <c r="G44" s="1"/>
    </row>
    <row r="45" spans="1:31" ht="15.75">
      <c r="A45" s="3"/>
      <c r="B45" s="1"/>
      <c r="C45" s="1"/>
      <c r="D45" s="1"/>
      <c r="E45" s="1"/>
      <c r="F45" s="1"/>
      <c r="G45" s="72">
        <v>66500</v>
      </c>
      <c r="H45" s="72">
        <v>68000</v>
      </c>
      <c r="I45" s="72">
        <v>70500</v>
      </c>
      <c r="J45" s="72">
        <v>71500</v>
      </c>
      <c r="K45" s="72">
        <v>78000</v>
      </c>
      <c r="L45" s="72">
        <v>84000</v>
      </c>
      <c r="M45" s="72">
        <v>92500</v>
      </c>
      <c r="N45" s="72">
        <v>96000</v>
      </c>
      <c r="O45" s="73"/>
      <c r="S45" s="18" t="s">
        <v>21</v>
      </c>
      <c r="T45" s="19" t="s">
        <v>22</v>
      </c>
      <c r="U45" s="19" t="s">
        <v>23</v>
      </c>
      <c r="V45" s="19" t="s">
        <v>14</v>
      </c>
      <c r="W45" s="19" t="s">
        <v>17</v>
      </c>
      <c r="X45" s="19" t="s">
        <v>19</v>
      </c>
      <c r="Y45" s="19" t="s">
        <v>24</v>
      </c>
      <c r="Z45" s="19" t="s">
        <v>25</v>
      </c>
      <c r="AA45" s="19" t="s">
        <v>26</v>
      </c>
      <c r="AB45" s="19" t="s">
        <v>27</v>
      </c>
      <c r="AC45" s="19" t="s">
        <v>28</v>
      </c>
      <c r="AD45" s="20" t="s">
        <v>29</v>
      </c>
    </row>
    <row r="46" spans="1:31">
      <c r="A46" s="3"/>
      <c r="B46" s="1"/>
      <c r="C46" s="1"/>
      <c r="D46" s="1"/>
      <c r="E46" s="1"/>
      <c r="F46" s="1"/>
      <c r="G46" s="1"/>
      <c r="I46" s="29"/>
      <c r="S46" s="17" t="s">
        <v>31</v>
      </c>
      <c r="T46" s="17" t="s">
        <v>36</v>
      </c>
      <c r="U46" s="17" t="s">
        <v>33</v>
      </c>
      <c r="V46" s="12">
        <v>19600</v>
      </c>
      <c r="W46" s="12">
        <v>19280</v>
      </c>
      <c r="X46" s="12">
        <v>32150</v>
      </c>
      <c r="Y46" s="12">
        <v>25950</v>
      </c>
      <c r="Z46" s="12">
        <v>28200</v>
      </c>
      <c r="AA46" s="12">
        <v>35974</v>
      </c>
      <c r="AB46" s="12">
        <v>34890</v>
      </c>
      <c r="AC46" s="12">
        <v>35700</v>
      </c>
      <c r="AD46" s="17" t="s">
        <v>34</v>
      </c>
    </row>
    <row r="47" spans="1:31">
      <c r="A47" s="3"/>
      <c r="B47" s="1"/>
      <c r="C47" s="1"/>
      <c r="D47" s="1"/>
      <c r="E47" s="1"/>
      <c r="F47" s="1"/>
      <c r="G47" s="1"/>
      <c r="S47" s="14"/>
      <c r="T47" s="14"/>
      <c r="U47" s="50" t="s">
        <v>35</v>
      </c>
      <c r="V47" s="13">
        <v>58285</v>
      </c>
      <c r="W47" s="13">
        <v>53524</v>
      </c>
      <c r="X47" s="13">
        <v>64033</v>
      </c>
      <c r="Y47" s="13">
        <v>64664</v>
      </c>
      <c r="Z47" s="13">
        <v>62008</v>
      </c>
      <c r="AA47" s="13">
        <v>62937</v>
      </c>
      <c r="AB47" s="13">
        <v>63388</v>
      </c>
      <c r="AC47" s="13">
        <v>66001</v>
      </c>
      <c r="AD47" s="50" t="s">
        <v>34</v>
      </c>
    </row>
    <row r="48" spans="1:31" ht="15.75">
      <c r="A48" s="3"/>
      <c r="B48" s="1"/>
      <c r="C48" s="1"/>
      <c r="D48" s="1"/>
      <c r="E48" s="1"/>
      <c r="F48" s="1"/>
      <c r="G48" s="74">
        <v>1131999</v>
      </c>
      <c r="H48" s="74">
        <v>1135478</v>
      </c>
      <c r="I48" s="74">
        <v>1153724</v>
      </c>
      <c r="J48" s="74">
        <v>1182293</v>
      </c>
      <c r="K48" s="74">
        <v>1167488</v>
      </c>
      <c r="L48" s="74">
        <v>1226187</v>
      </c>
      <c r="M48" s="74">
        <v>1249398</v>
      </c>
      <c r="N48" s="74">
        <v>1288357</v>
      </c>
      <c r="O48" s="75"/>
      <c r="P48" t="s">
        <v>57</v>
      </c>
    </row>
    <row r="49" spans="1:15" ht="16.5">
      <c r="A49" s="3"/>
      <c r="B49" s="1"/>
      <c r="C49" s="1"/>
      <c r="D49" s="1"/>
      <c r="E49" s="1"/>
      <c r="F49" s="1"/>
      <c r="G49" s="1"/>
    </row>
    <row r="50" spans="1:15" ht="16.5">
      <c r="A50" s="1"/>
      <c r="B50" s="1"/>
      <c r="C50" s="1"/>
      <c r="D50" s="1"/>
      <c r="E50" s="1"/>
      <c r="F50" s="1"/>
      <c r="G50" s="1"/>
    </row>
    <row r="51" spans="1:15" ht="16.5">
      <c r="A51" s="1"/>
      <c r="B51" s="1"/>
      <c r="C51" s="1"/>
      <c r="D51" s="1"/>
      <c r="E51" s="1"/>
      <c r="F51" s="1"/>
      <c r="G51" s="1"/>
    </row>
    <row r="52" spans="1:15" ht="16.5">
      <c r="A52" s="1"/>
      <c r="B52" s="1"/>
      <c r="C52" s="1"/>
      <c r="D52" s="1"/>
      <c r="E52" s="1"/>
      <c r="F52" s="1"/>
      <c r="G52" s="1"/>
    </row>
    <row r="53" spans="1:15" ht="16.5">
      <c r="A53" s="1"/>
      <c r="B53" s="1"/>
      <c r="C53" s="1"/>
      <c r="D53" s="1"/>
      <c r="E53" s="1"/>
      <c r="F53" s="1"/>
      <c r="G53" s="1"/>
    </row>
    <row r="55" spans="1:15" ht="15" customHeight="1">
      <c r="G55">
        <v>1000</v>
      </c>
    </row>
    <row r="59" spans="1:15" ht="15" customHeight="1">
      <c r="L59" s="39"/>
      <c r="M59" s="40"/>
      <c r="N59" s="40"/>
      <c r="O59" s="39"/>
    </row>
    <row r="60" spans="1:15" ht="15" customHeight="1">
      <c r="L60" s="41"/>
      <c r="M60" s="93"/>
      <c r="N60" s="93"/>
      <c r="O60" s="41"/>
    </row>
    <row r="61" spans="1:15" ht="15" customHeight="1">
      <c r="L61" s="41"/>
      <c r="M61" s="93"/>
      <c r="N61" s="93"/>
      <c r="O61" s="41"/>
    </row>
    <row r="62" spans="1:15" ht="15" customHeight="1">
      <c r="L62" s="41"/>
      <c r="M62" s="93"/>
      <c r="N62" s="93"/>
      <c r="O62" s="41"/>
    </row>
    <row r="63" spans="1:15" ht="15" customHeight="1">
      <c r="L63" s="41"/>
      <c r="M63" s="93"/>
      <c r="N63" s="93"/>
      <c r="O63" s="41"/>
    </row>
    <row r="64" spans="1:15" ht="15" customHeight="1">
      <c r="L64" s="41"/>
      <c r="M64" s="93"/>
      <c r="N64" s="93"/>
      <c r="O64" s="41"/>
    </row>
    <row r="65" spans="12:15" ht="15" customHeight="1">
      <c r="L65" s="41"/>
      <c r="M65" s="93"/>
      <c r="N65" s="93"/>
      <c r="O65" s="41"/>
    </row>
    <row r="66" spans="12:15" ht="15" customHeight="1">
      <c r="L66" s="41"/>
      <c r="M66" s="93"/>
      <c r="N66" s="93"/>
      <c r="O66" s="41"/>
    </row>
    <row r="67" spans="12:15" ht="15" customHeight="1">
      <c r="L67" s="41"/>
      <c r="M67" s="93"/>
      <c r="N67" s="93"/>
      <c r="O67" s="41"/>
    </row>
  </sheetData>
  <hyperlinks>
    <hyperlink ref="P3" r:id="rId1" display="Conab" xr:uid="{54E19700-3761-4315-A928-B1B2B1980364}"/>
    <hyperlink ref="P4" r:id="rId2" xr:uid="{76D47469-15FC-45B1-9DBE-38B89C556EF4}"/>
    <hyperlink ref="P5" r:id="rId3" xr:uid="{A37196A9-9D1E-46E9-A32C-5E455418D6B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604F-3027-4F44-8D2E-1CC2FDF8AA27}">
  <dimension ref="A1"/>
  <sheetViews>
    <sheetView workbookViewId="0"/>
  </sheetViews>
  <sheetFormatPr defaultRowHeight="15"/>
  <cols>
    <col min="1" max="15" width="9.1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5AC7D-67E1-41C1-9541-74E44ACA59D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49CB3-9E6F-4431-BFDC-0E0E5FB2BA2E}">
  <dimension ref="A2:M10"/>
  <sheetViews>
    <sheetView workbookViewId="0">
      <selection activeCell="L6" sqref="L6"/>
    </sheetView>
  </sheetViews>
  <sheetFormatPr defaultRowHeight="15"/>
  <cols>
    <col min="1" max="1" width="14.28515625" bestFit="1" customWidth="1"/>
    <col min="2" max="2" width="11.7109375" bestFit="1" customWidth="1"/>
    <col min="6" max="6" width="14.7109375" bestFit="1" customWidth="1"/>
    <col min="8" max="8" width="16.28515625" bestFit="1" customWidth="1"/>
    <col min="9" max="9" width="19.28515625" bestFit="1" customWidth="1"/>
    <col min="10" max="10" width="12.5703125" bestFit="1" customWidth="1"/>
    <col min="11" max="11" width="14.5703125" bestFit="1" customWidth="1"/>
    <col min="12" max="12" width="16.7109375" bestFit="1" customWidth="1"/>
  </cols>
  <sheetData>
    <row r="2" spans="1:13">
      <c r="B2" s="88" t="s">
        <v>58</v>
      </c>
      <c r="C2" s="88"/>
      <c r="D2" s="88"/>
      <c r="E2" s="88"/>
      <c r="F2" s="88"/>
      <c r="H2" s="88" t="s">
        <v>59</v>
      </c>
      <c r="I2" s="88"/>
      <c r="J2" s="88"/>
      <c r="K2" s="88"/>
      <c r="L2" s="88"/>
    </row>
    <row r="3" spans="1:13">
      <c r="B3" s="80" t="s">
        <v>60</v>
      </c>
      <c r="C3" s="80" t="s">
        <v>38</v>
      </c>
      <c r="D3" s="80" t="s">
        <v>30</v>
      </c>
      <c r="E3" s="80" t="s">
        <v>15</v>
      </c>
      <c r="F3" s="80" t="s">
        <v>61</v>
      </c>
      <c r="H3" s="80" t="s">
        <v>60</v>
      </c>
      <c r="I3" s="80" t="s">
        <v>38</v>
      </c>
      <c r="J3" s="80" t="s">
        <v>30</v>
      </c>
      <c r="K3" s="80" t="s">
        <v>15</v>
      </c>
      <c r="L3" s="80" t="s">
        <v>61</v>
      </c>
    </row>
    <row r="4" spans="1:13">
      <c r="B4" s="81">
        <v>0.42159999999999997</v>
      </c>
      <c r="C4" s="82">
        <v>0.01</v>
      </c>
      <c r="D4" s="81">
        <v>0.28570000000000001</v>
      </c>
      <c r="E4" s="81">
        <v>0.1104</v>
      </c>
      <c r="F4" s="81">
        <v>0.37319999999999998</v>
      </c>
      <c r="H4" s="81">
        <v>0.45</v>
      </c>
      <c r="I4" s="81">
        <v>1.46E-2</v>
      </c>
      <c r="J4" s="81">
        <v>0.75</v>
      </c>
      <c r="K4" s="81">
        <v>0.21</v>
      </c>
      <c r="L4" s="81">
        <v>0.66</v>
      </c>
    </row>
    <row r="5" spans="1:13">
      <c r="A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s="55"/>
    </row>
    <row r="6" spans="1:13">
      <c r="G6" t="s">
        <v>68</v>
      </c>
      <c r="H6" t="s">
        <v>69</v>
      </c>
      <c r="I6" t="s">
        <v>70</v>
      </c>
      <c r="J6" t="s">
        <v>71</v>
      </c>
      <c r="K6" t="s">
        <v>72</v>
      </c>
      <c r="L6" s="55" t="s">
        <v>73</v>
      </c>
      <c r="M6" s="55"/>
    </row>
    <row r="7" spans="1:13">
      <c r="H7" t="s">
        <v>74</v>
      </c>
      <c r="I7" t="s">
        <v>75</v>
      </c>
      <c r="J7" t="s">
        <v>76</v>
      </c>
      <c r="K7" t="s">
        <v>77</v>
      </c>
      <c r="L7" t="s">
        <v>78</v>
      </c>
    </row>
    <row r="8" spans="1:13">
      <c r="H8" t="s">
        <v>79</v>
      </c>
      <c r="I8" t="s">
        <v>80</v>
      </c>
      <c r="K8" t="s">
        <v>81</v>
      </c>
      <c r="L8" t="s">
        <v>82</v>
      </c>
    </row>
    <row r="9" spans="1:13">
      <c r="I9" t="s">
        <v>83</v>
      </c>
      <c r="K9" t="s">
        <v>84</v>
      </c>
    </row>
    <row r="10" spans="1:13">
      <c r="E10" t="s">
        <v>85</v>
      </c>
      <c r="I10" t="s">
        <v>86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5074-3522-43C3-A66F-D328C777B535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4365-52D9-4BD2-893E-80AC204C292B}">
  <dimension ref="C5:AN54"/>
  <sheetViews>
    <sheetView showGridLines="0" topLeftCell="D8" zoomScale="67" workbookViewId="0">
      <selection activeCell="H12" sqref="H12"/>
    </sheetView>
  </sheetViews>
  <sheetFormatPr defaultRowHeight="14.45"/>
  <cols>
    <col min="3" max="3" width="11.5703125" bestFit="1" customWidth="1"/>
    <col min="4" max="4" width="12.7109375" bestFit="1" customWidth="1"/>
    <col min="5" max="5" width="18.7109375" bestFit="1" customWidth="1"/>
    <col min="6" max="6" width="18.5703125" bestFit="1" customWidth="1"/>
    <col min="7" max="7" width="21.7109375" bestFit="1" customWidth="1"/>
    <col min="8" max="8" width="16.28515625" bestFit="1" customWidth="1"/>
    <col min="9" max="9" width="21.28515625" bestFit="1" customWidth="1"/>
    <col min="10" max="10" width="18.140625" bestFit="1" customWidth="1"/>
    <col min="11" max="11" width="22" bestFit="1" customWidth="1"/>
    <col min="12" max="12" width="25.140625" bestFit="1" customWidth="1"/>
    <col min="13" max="13" width="28.140625" bestFit="1" customWidth="1"/>
    <col min="14" max="14" width="28.140625" customWidth="1"/>
    <col min="15" max="15" width="33.28515625" bestFit="1" customWidth="1"/>
    <col min="16" max="18" width="33.28515625" customWidth="1"/>
    <col min="19" max="19" width="38.42578125" bestFit="1" customWidth="1"/>
    <col min="20" max="20" width="35.85546875" bestFit="1" customWidth="1"/>
    <col min="21" max="21" width="56.85546875" customWidth="1"/>
    <col min="22" max="22" width="36.85546875" bestFit="1" customWidth="1"/>
    <col min="23" max="23" width="36.28515625" bestFit="1" customWidth="1"/>
    <col min="24" max="24" width="46" bestFit="1" customWidth="1"/>
    <col min="25" max="25" width="33.7109375" customWidth="1"/>
    <col min="26" max="26" width="43.28515625" bestFit="1" customWidth="1"/>
    <col min="27" max="27" width="51.5703125" bestFit="1" customWidth="1"/>
    <col min="28" max="28" width="33.7109375" customWidth="1"/>
    <col min="29" max="29" width="12.7109375" bestFit="1" customWidth="1"/>
    <col min="30" max="31" width="15.28515625" bestFit="1" customWidth="1"/>
    <col min="32" max="32" width="31.42578125" customWidth="1"/>
    <col min="34" max="34" width="24.7109375" bestFit="1" customWidth="1"/>
    <col min="35" max="35" width="35.28515625" bestFit="1" customWidth="1"/>
    <col min="36" max="36" width="38.28515625" bestFit="1" customWidth="1"/>
    <col min="37" max="37" width="35.140625" bestFit="1" customWidth="1"/>
    <col min="38" max="38" width="43.85546875" bestFit="1" customWidth="1"/>
    <col min="39" max="39" width="41.7109375" bestFit="1" customWidth="1"/>
    <col min="40" max="40" width="43.42578125" bestFit="1" customWidth="1"/>
    <col min="42" max="42" width="16.28515625" bestFit="1" customWidth="1"/>
  </cols>
  <sheetData>
    <row r="5" spans="3:40">
      <c r="C5" s="87"/>
      <c r="D5" s="87" t="s">
        <v>87</v>
      </c>
      <c r="E5" s="87" t="s">
        <v>88</v>
      </c>
      <c r="F5" s="87" t="s">
        <v>89</v>
      </c>
      <c r="G5" s="87" t="s">
        <v>90</v>
      </c>
      <c r="H5" s="87" t="s">
        <v>91</v>
      </c>
      <c r="I5" s="87" t="s">
        <v>92</v>
      </c>
      <c r="J5" s="87" t="s">
        <v>93</v>
      </c>
      <c r="K5" s="45" t="s">
        <v>94</v>
      </c>
      <c r="L5" s="87" t="s">
        <v>95</v>
      </c>
      <c r="M5" s="87" t="s">
        <v>96</v>
      </c>
      <c r="N5" s="87" t="s">
        <v>97</v>
      </c>
      <c r="O5" s="57" t="s">
        <v>98</v>
      </c>
      <c r="P5" s="58" t="s">
        <v>99</v>
      </c>
      <c r="Q5" s="58" t="s">
        <v>100</v>
      </c>
      <c r="R5" s="58" t="s">
        <v>101</v>
      </c>
      <c r="S5" s="58" t="s">
        <v>102</v>
      </c>
      <c r="T5" s="59" t="s">
        <v>103</v>
      </c>
      <c r="U5" s="45" t="s">
        <v>104</v>
      </c>
      <c r="V5" s="49" t="s">
        <v>105</v>
      </c>
      <c r="W5" s="87" t="s">
        <v>106</v>
      </c>
      <c r="X5" s="87" t="s">
        <v>107</v>
      </c>
      <c r="Y5" s="87" t="s">
        <v>108</v>
      </c>
      <c r="Z5" s="87" t="s">
        <v>109</v>
      </c>
      <c r="AA5" s="56" t="s">
        <v>110</v>
      </c>
      <c r="AB5" s="87"/>
      <c r="AC5" s="87"/>
      <c r="AF5" s="85" t="s">
        <v>111</v>
      </c>
    </row>
    <row r="6" spans="3:40" ht="15">
      <c r="C6" s="2" t="s">
        <v>14</v>
      </c>
      <c r="D6" s="33">
        <v>29038.334999999999</v>
      </c>
      <c r="E6" s="22">
        <v>138.41926680768839</v>
      </c>
      <c r="F6" s="23">
        <f>9324469*0.976</f>
        <v>9100681.743999999</v>
      </c>
      <c r="G6" s="23">
        <f>23027174*0.976</f>
        <v>22474521.824000001</v>
      </c>
      <c r="H6" s="23">
        <f>32351643*0.976</f>
        <v>31575203.568</v>
      </c>
      <c r="I6" s="24">
        <f>(D6*1000/E6)/'Base Geral'!M34</f>
        <v>0.33812602759028954</v>
      </c>
      <c r="J6" s="24">
        <f t="shared" ref="J6:J13" si="0">1-I6</f>
        <v>0.66187397240971046</v>
      </c>
      <c r="K6" s="45">
        <v>280</v>
      </c>
      <c r="L6" s="34">
        <v>0.50204000000000004</v>
      </c>
      <c r="M6" s="34">
        <v>0.46021699999999999</v>
      </c>
      <c r="N6" s="34">
        <f>AVERAGE(M6,L6)</f>
        <v>0.48112850000000001</v>
      </c>
      <c r="O6" s="47">
        <v>10600</v>
      </c>
      <c r="P6">
        <v>19129.599999999999</v>
      </c>
      <c r="Q6">
        <v>20232480</v>
      </c>
      <c r="R6">
        <v>9857600</v>
      </c>
      <c r="S6">
        <v>599264</v>
      </c>
      <c r="T6">
        <v>997472</v>
      </c>
      <c r="U6" s="46">
        <f>O6*K6</f>
        <v>2968000</v>
      </c>
      <c r="V6" s="32">
        <f>P6*K6</f>
        <v>5356288</v>
      </c>
      <c r="W6" s="32">
        <f>Q6*M6</f>
        <v>9311331.248159999</v>
      </c>
      <c r="X6" s="32">
        <f>S6*M6</f>
        <v>275791.48028800002</v>
      </c>
      <c r="Y6" s="32">
        <f>R6*L6</f>
        <v>4948909.5040000007</v>
      </c>
      <c r="Z6" s="32">
        <f>T6*L6</f>
        <v>500770.84288000007</v>
      </c>
      <c r="AA6" s="61">
        <f>SUM(U6:Z6)</f>
        <v>23361091.075327996</v>
      </c>
      <c r="AD6" s="91" t="s">
        <v>112</v>
      </c>
      <c r="AE6" s="91"/>
      <c r="AF6" s="91"/>
    </row>
    <row r="7" spans="3:40" ht="15">
      <c r="C7" s="2" t="s">
        <v>17</v>
      </c>
      <c r="D7" s="33">
        <v>29795.699510000002</v>
      </c>
      <c r="E7" s="22">
        <v>139.28993584141935</v>
      </c>
      <c r="F7" s="23">
        <f>10116456.5*0.934</f>
        <v>9448770.3710000012</v>
      </c>
      <c r="G7" s="23">
        <f>23885161.25*0.934</f>
        <v>22308740.607500002</v>
      </c>
      <c r="H7" s="23">
        <f>34001617.75*0.934</f>
        <v>31757510.978500001</v>
      </c>
      <c r="I7" s="24">
        <f>(D7*1000/E7)/'Base Geral'!M35</f>
        <v>0.33282315909103372</v>
      </c>
      <c r="J7" s="24">
        <f t="shared" si="0"/>
        <v>0.66717684090896623</v>
      </c>
      <c r="K7" s="45">
        <v>280</v>
      </c>
      <c r="L7" s="34">
        <v>0.48896499999999998</v>
      </c>
      <c r="M7" s="34">
        <v>0.44378299999999998</v>
      </c>
      <c r="N7" s="34">
        <f t="shared" ref="N7:N13" si="1">AVERAGE(M7,L7)</f>
        <v>0.46637399999999996</v>
      </c>
      <c r="O7" s="47">
        <v>10650</v>
      </c>
      <c r="P7" s="84">
        <v>18007.52</v>
      </c>
      <c r="Q7" s="84">
        <v>21056096</v>
      </c>
      <c r="R7" s="84">
        <v>9624870</v>
      </c>
      <c r="S7" s="84">
        <v>613638</v>
      </c>
      <c r="T7" s="84">
        <v>1174038</v>
      </c>
      <c r="U7" s="46">
        <f t="shared" ref="U7:U13" si="2">O7*K7</f>
        <v>2982000</v>
      </c>
      <c r="V7" s="32">
        <f t="shared" ref="V7:V13" si="3">P7*K7</f>
        <v>5042105.6000000006</v>
      </c>
      <c r="W7" s="32">
        <f t="shared" ref="W7:W13" si="4">Q7*M7</f>
        <v>9344337.4511679988</v>
      </c>
      <c r="X7" s="32">
        <f t="shared" ref="X7:X13" si="5">S7*M7</f>
        <v>272322.11255399999</v>
      </c>
      <c r="Y7" s="32">
        <f t="shared" ref="Y7:Y13" si="6">R7*L7</f>
        <v>4706224.5595499994</v>
      </c>
      <c r="Z7" s="32">
        <f t="shared" ref="Z7:Z13" si="7">T7*L7</f>
        <v>574063.49066999997</v>
      </c>
      <c r="AA7" s="61">
        <f t="shared" ref="AA7:AA13" si="8">SUM(U7:Z7)</f>
        <v>22921053.213941995</v>
      </c>
      <c r="AD7" t="s">
        <v>113</v>
      </c>
      <c r="AE7" t="s">
        <v>114</v>
      </c>
      <c r="AF7" t="s">
        <v>115</v>
      </c>
      <c r="AH7" s="57" t="s">
        <v>98</v>
      </c>
      <c r="AI7" s="58" t="s">
        <v>99</v>
      </c>
      <c r="AJ7" s="58" t="s">
        <v>100</v>
      </c>
      <c r="AK7" s="58" t="s">
        <v>101</v>
      </c>
      <c r="AL7" s="58" t="s">
        <v>102</v>
      </c>
      <c r="AM7" s="59" t="s">
        <v>103</v>
      </c>
      <c r="AN7" s="64" t="s">
        <v>116</v>
      </c>
    </row>
    <row r="8" spans="3:40" ht="15">
      <c r="C8" s="2" t="s">
        <v>19</v>
      </c>
      <c r="D8" s="33">
        <v>41254.297999999995</v>
      </c>
      <c r="E8" s="22">
        <v>144.08027352373313</v>
      </c>
      <c r="F8" s="23">
        <f>9321811.984*0.885</f>
        <v>8249803.6058399994</v>
      </c>
      <c r="G8" s="23">
        <f>20424610.9889859*0.885</f>
        <v>18075780.72525252</v>
      </c>
      <c r="H8" s="23">
        <f>29746422.9729859*0.885</f>
        <v>26325584.331092522</v>
      </c>
      <c r="I8" s="24">
        <f>(D8*1000/E8)/'Base Geral'!M36</f>
        <v>0.43893482696326402</v>
      </c>
      <c r="J8" s="24">
        <f t="shared" si="0"/>
        <v>0.56106517303673598</v>
      </c>
      <c r="K8" s="45">
        <v>280</v>
      </c>
      <c r="L8" s="34">
        <v>0.4052</v>
      </c>
      <c r="M8" s="34">
        <v>0.35697400000000001</v>
      </c>
      <c r="N8" s="34">
        <f t="shared" si="1"/>
        <v>0.38108700000000001</v>
      </c>
      <c r="O8" s="47">
        <v>10150</v>
      </c>
      <c r="P8" s="84">
        <v>28452.75</v>
      </c>
      <c r="Q8" s="84">
        <v>17043330</v>
      </c>
      <c r="R8" s="84">
        <v>8557950</v>
      </c>
      <c r="S8" s="84">
        <v>1385025</v>
      </c>
      <c r="T8" s="84">
        <v>1006245</v>
      </c>
      <c r="U8" s="46">
        <f t="shared" si="2"/>
        <v>2842000</v>
      </c>
      <c r="V8" s="32">
        <f t="shared" si="3"/>
        <v>7966770</v>
      </c>
      <c r="W8" s="32">
        <f t="shared" si="4"/>
        <v>6084025.6834200006</v>
      </c>
      <c r="X8" s="32">
        <f t="shared" si="5"/>
        <v>494417.91435000004</v>
      </c>
      <c r="Y8" s="32">
        <f t="shared" si="6"/>
        <v>3467681.34</v>
      </c>
      <c r="Z8" s="32">
        <f t="shared" si="7"/>
        <v>407730.47399999999</v>
      </c>
      <c r="AA8" s="61">
        <f t="shared" si="8"/>
        <v>21262625.411770001</v>
      </c>
      <c r="AC8" s="2" t="s">
        <v>14</v>
      </c>
      <c r="AD8">
        <f>($E$6)*0.5665</f>
        <v>78.414514646555475</v>
      </c>
      <c r="AE8">
        <f>($E$6)*0.5913</f>
        <v>81.847312463386146</v>
      </c>
      <c r="AF8">
        <f>$E$6/1049.5</f>
        <v>0.13189067823505324</v>
      </c>
      <c r="AH8" s="46">
        <f>(10600)/($E$6/1049.5)</f>
        <v>80369.592012476176</v>
      </c>
      <c r="AI8">
        <f>19129.6/($E$6/1049.5)</f>
        <v>145041.33465677963</v>
      </c>
      <c r="AJ8">
        <f>20232480/(($E$6)*0.5913)</f>
        <v>247197.85404133907</v>
      </c>
      <c r="AK8">
        <f>9857600/(($E$6)*0.5665)</f>
        <v>125711.42019346818</v>
      </c>
      <c r="AL8">
        <f>599264/(($E$6)*0.5913)</f>
        <v>7321.7309397675917</v>
      </c>
      <c r="AM8">
        <f>997472/(($E$6)*0.5665)</f>
        <v>12720.502122546977</v>
      </c>
      <c r="AN8" s="61">
        <f>SUM(AH8:AM8)</f>
        <v>618362.43396637763</v>
      </c>
    </row>
    <row r="9" spans="3:40" ht="15">
      <c r="C9" s="2" t="s">
        <v>24</v>
      </c>
      <c r="D9" s="33">
        <v>35049.166000000005</v>
      </c>
      <c r="E9" s="22">
        <v>141.60864476251581</v>
      </c>
      <c r="F9" s="23">
        <f>10604566.59*0.85</f>
        <v>9013881.6014999989</v>
      </c>
      <c r="G9" s="23">
        <f>16181899.1328566*0.85</f>
        <v>13754614.26292811</v>
      </c>
      <c r="H9" s="23">
        <f>26786465.7228566*0.85</f>
        <v>22768495.86442811</v>
      </c>
      <c r="I9" s="24">
        <f>(D9*1000/E9)/'Base Geral'!M37</f>
        <v>0.42293814691745929</v>
      </c>
      <c r="J9" s="24">
        <f t="shared" si="0"/>
        <v>0.57706185308254065</v>
      </c>
      <c r="K9" s="45">
        <v>390</v>
      </c>
      <c r="L9" s="34">
        <v>0.63004599999999999</v>
      </c>
      <c r="M9" s="34">
        <v>0.54955600000000004</v>
      </c>
      <c r="N9" s="34">
        <f t="shared" si="1"/>
        <v>0.58980100000000002</v>
      </c>
      <c r="O9" s="47">
        <v>9500</v>
      </c>
      <c r="P9" s="84">
        <v>22057.5</v>
      </c>
      <c r="Q9" s="84">
        <v>14273200</v>
      </c>
      <c r="R9" s="84">
        <v>9023600</v>
      </c>
      <c r="S9" s="84">
        <v>867000</v>
      </c>
      <c r="T9" s="84">
        <v>523600</v>
      </c>
      <c r="U9" s="46">
        <f t="shared" si="2"/>
        <v>3705000</v>
      </c>
      <c r="V9" s="32">
        <f t="shared" si="3"/>
        <v>8602425</v>
      </c>
      <c r="W9" s="32">
        <f t="shared" si="4"/>
        <v>7843922.6992000006</v>
      </c>
      <c r="X9" s="32">
        <f t="shared" si="5"/>
        <v>476465.05200000003</v>
      </c>
      <c r="Y9" s="32">
        <f t="shared" si="6"/>
        <v>5685283.0855999999</v>
      </c>
      <c r="Z9" s="32">
        <f t="shared" si="7"/>
        <v>329892.08559999999</v>
      </c>
      <c r="AA9" s="61">
        <f t="shared" si="8"/>
        <v>26642987.922400001</v>
      </c>
      <c r="AC9" s="2" t="s">
        <v>17</v>
      </c>
      <c r="AD9">
        <f>($E$7)*0.5665</f>
        <v>78.907748654164067</v>
      </c>
      <c r="AE9">
        <f>($E$7)*0.5913</f>
        <v>82.362139063031265</v>
      </c>
      <c r="AF9">
        <f>$E$7/1049.5</f>
        <v>0.13272028188796509</v>
      </c>
      <c r="AH9" s="46">
        <f>10650/($E$7/1049.5)</f>
        <v>80243.952533118674</v>
      </c>
      <c r="AI9">
        <f>18007.52/($E$7/1049.5)</f>
        <v>135680.24226471223</v>
      </c>
      <c r="AJ9">
        <f>21056096/(($E$7)*0.5913)</f>
        <v>255652.6122261819</v>
      </c>
      <c r="AK9">
        <f>9624870/(($E$7)*0.5665)</f>
        <v>121976.23381936499</v>
      </c>
      <c r="AL9">
        <f>613638/(($E$7)*0.5913)</f>
        <v>7450.4864368613162</v>
      </c>
      <c r="AM9">
        <f>1174038/(($E$7)*0.5665)</f>
        <v>14878.614838519341</v>
      </c>
      <c r="AN9" s="61">
        <f t="shared" ref="AN9:AN15" si="9">SUM(AH9:AM9)</f>
        <v>615882.14211875852</v>
      </c>
    </row>
    <row r="10" spans="3:40" ht="15">
      <c r="C10" s="2" t="s">
        <v>25</v>
      </c>
      <c r="D10" s="33">
        <v>37036.200700000001</v>
      </c>
      <c r="E10" s="22">
        <v>133.46127629926346</v>
      </c>
      <c r="F10" s="23">
        <f>11647168.8145081*0.876</f>
        <v>10202919.881509095</v>
      </c>
      <c r="G10" s="23">
        <f>15718719.5817395*0.876</f>
        <v>13769598.353603803</v>
      </c>
      <c r="H10" s="23">
        <f>27365888.3962476*0.876</f>
        <v>23972518.235112898</v>
      </c>
      <c r="I10" s="24">
        <f>(D10*1000/E10)/'Base Geral'!M38</f>
        <v>0.45482863848360744</v>
      </c>
      <c r="J10" s="24">
        <f t="shared" si="0"/>
        <v>0.54517136151639256</v>
      </c>
      <c r="K10" s="45">
        <v>410</v>
      </c>
      <c r="L10" s="34">
        <v>0.664883</v>
      </c>
      <c r="M10" s="34">
        <v>0.57647300000000001</v>
      </c>
      <c r="N10" s="34">
        <f t="shared" si="1"/>
        <v>0.62067800000000006</v>
      </c>
      <c r="O10" s="47">
        <v>9500</v>
      </c>
      <c r="P10" s="84">
        <v>24703.200000000001</v>
      </c>
      <c r="Q10" s="84">
        <v>13603404</v>
      </c>
      <c r="R10" s="84">
        <v>10179996</v>
      </c>
      <c r="S10" s="84">
        <v>989880</v>
      </c>
      <c r="T10" s="84">
        <v>1296480</v>
      </c>
      <c r="U10" s="46">
        <f t="shared" si="2"/>
        <v>3895000</v>
      </c>
      <c r="V10" s="32">
        <f t="shared" si="3"/>
        <v>10128312</v>
      </c>
      <c r="W10" s="32">
        <f t="shared" si="4"/>
        <v>7841995.1140919998</v>
      </c>
      <c r="X10" s="32">
        <f t="shared" si="5"/>
        <v>570639.09323999996</v>
      </c>
      <c r="Y10" s="32">
        <f t="shared" si="6"/>
        <v>6768506.2804680001</v>
      </c>
      <c r="Z10" s="32">
        <f t="shared" si="7"/>
        <v>862007.51184000005</v>
      </c>
      <c r="AA10" s="61">
        <f t="shared" si="8"/>
        <v>30066459.999640003</v>
      </c>
      <c r="AC10" s="2" t="s">
        <v>19</v>
      </c>
      <c r="AD10">
        <f>($E$8)*0.5665</f>
        <v>81.621474951194813</v>
      </c>
      <c r="AE10">
        <f>($E$8)*0.5913</f>
        <v>85.19466573458341</v>
      </c>
      <c r="AF10">
        <f>$E$8/1049.5</f>
        <v>0.13728468177582956</v>
      </c>
      <c r="AH10" s="46">
        <f>10150/($E$8/1049.5)</f>
        <v>73933.958754217078</v>
      </c>
      <c r="AI10">
        <f>28452.75/($E$8/1049.5)</f>
        <v>207253.63989596552</v>
      </c>
      <c r="AJ10">
        <f>17043330/(($E$8)*0.5913)</f>
        <v>200051.60948805194</v>
      </c>
      <c r="AK10">
        <f>8557950/(($E$8)*0.5665)</f>
        <v>104849.24470082398</v>
      </c>
      <c r="AL10">
        <f>1385025/(($E$8)*0.5913)</f>
        <v>16257.17981352172</v>
      </c>
      <c r="AM10">
        <f>1006245/(($E$8)*0.5665)</f>
        <v>12328.189371751485</v>
      </c>
      <c r="AN10" s="61">
        <f t="shared" si="9"/>
        <v>614673.82202433178</v>
      </c>
    </row>
    <row r="11" spans="3:40" ht="15">
      <c r="C11" s="2" t="s">
        <v>26</v>
      </c>
      <c r="D11" s="33">
        <v>45678.701950000002</v>
      </c>
      <c r="E11" s="22">
        <v>134.55664819915754</v>
      </c>
      <c r="F11" s="23">
        <f>12049303.487*0.836</f>
        <v>10073217.715132</v>
      </c>
      <c r="G11" s="23">
        <f>17640240.161*0.836</f>
        <v>14747240.774595998</v>
      </c>
      <c r="H11" s="23">
        <f>29689543.648*0.836</f>
        <v>24820458.489727996</v>
      </c>
      <c r="I11" s="24">
        <f>(D11*1000/E11)/'Base Geral'!M39</f>
        <v>0.47597994795261117</v>
      </c>
      <c r="J11" s="24">
        <f t="shared" si="0"/>
        <v>0.52402005204738877</v>
      </c>
      <c r="K11" s="45">
        <v>520</v>
      </c>
      <c r="L11" s="34">
        <v>0.55623999999999996</v>
      </c>
      <c r="M11" s="34">
        <v>0.48062899999999997</v>
      </c>
      <c r="N11" s="34">
        <f t="shared" si="1"/>
        <v>0.51843449999999991</v>
      </c>
      <c r="O11" s="47">
        <v>9500</v>
      </c>
      <c r="P11" s="84">
        <v>30074.263999999999</v>
      </c>
      <c r="Q11" s="84">
        <v>15217708</v>
      </c>
      <c r="R11" s="84">
        <v>10200036</v>
      </c>
      <c r="S11" s="84">
        <v>1187120</v>
      </c>
      <c r="T11" s="84">
        <v>886160</v>
      </c>
      <c r="U11" s="46">
        <f t="shared" si="2"/>
        <v>4940000</v>
      </c>
      <c r="V11" s="32">
        <f t="shared" si="3"/>
        <v>15638617.279999999</v>
      </c>
      <c r="W11" s="32">
        <f t="shared" si="4"/>
        <v>7314071.7783319997</v>
      </c>
      <c r="X11" s="32">
        <f t="shared" si="5"/>
        <v>570564.29848</v>
      </c>
      <c r="Y11" s="32">
        <f t="shared" si="6"/>
        <v>5673668.0246399995</v>
      </c>
      <c r="Z11" s="32">
        <f t="shared" si="7"/>
        <v>492917.63839999994</v>
      </c>
      <c r="AA11" s="61">
        <f t="shared" si="8"/>
        <v>34629839.019852005</v>
      </c>
      <c r="AC11" s="2" t="s">
        <v>24</v>
      </c>
      <c r="AD11">
        <f>($E$9)*0.5665</f>
        <v>80.221297257965205</v>
      </c>
      <c r="AE11">
        <f>($E$9)*0.5913</f>
        <v>83.733191648075604</v>
      </c>
      <c r="AF11">
        <f>$E$9/1049.5</f>
        <v>0.13492962816819037</v>
      </c>
      <c r="AH11" s="46">
        <f>9500/($E$9/1049.5)</f>
        <v>70407.071663743176</v>
      </c>
      <c r="AI11">
        <f>22057.5/($E$9/1049.5)</f>
        <v>163474.10349715949</v>
      </c>
      <c r="AJ11">
        <f>14273200/(($E$9)*0.5913)</f>
        <v>170460.47951915176</v>
      </c>
      <c r="AK11">
        <f>9023600/(($E$9)*0.5665)</f>
        <v>112483.84541804506</v>
      </c>
      <c r="AL11">
        <f>867000/(($E$9)*0.5913)</f>
        <v>10354.31688360736</v>
      </c>
      <c r="AM11">
        <f>523600/(($E$9)*0.5665)</f>
        <v>6526.9450619362997</v>
      </c>
      <c r="AN11" s="61">
        <f t="shared" si="9"/>
        <v>533706.76204364304</v>
      </c>
    </row>
    <row r="12" spans="3:40" ht="15">
      <c r="C12" s="2" t="s">
        <v>27</v>
      </c>
      <c r="D12" s="33">
        <v>44853.387435719342</v>
      </c>
      <c r="E12" s="22">
        <v>137.26774810783303</v>
      </c>
      <c r="F12" s="23">
        <f>10467182.5162166*0.766</f>
        <v>8017861.8074219162</v>
      </c>
      <c r="G12" s="23">
        <f>18868830.5433886*0.766</f>
        <v>14453524.19623567</v>
      </c>
      <c r="H12" s="23">
        <f>29336013.0596052*0.766</f>
        <v>22471386.003657583</v>
      </c>
      <c r="I12" s="24">
        <f>(D12*1000/E12)/'Base Geral'!M40</f>
        <v>0.47559022770654347</v>
      </c>
      <c r="J12" s="24">
        <f t="shared" si="0"/>
        <v>0.52440977229345653</v>
      </c>
      <c r="K12" s="45">
        <v>450</v>
      </c>
      <c r="L12" s="34">
        <v>0.50131899999999996</v>
      </c>
      <c r="M12" s="34">
        <v>0.44377499999999998</v>
      </c>
      <c r="N12" s="34">
        <f t="shared" si="1"/>
        <v>0.47254699999999994</v>
      </c>
      <c r="O12" s="47">
        <v>9000</v>
      </c>
      <c r="P12" s="84">
        <v>26725.74</v>
      </c>
      <c r="Q12" s="84">
        <v>16595390</v>
      </c>
      <c r="R12" s="84">
        <v>9257110</v>
      </c>
      <c r="S12" s="84">
        <v>865580</v>
      </c>
      <c r="T12" s="84">
        <v>406746</v>
      </c>
      <c r="U12" s="46">
        <f t="shared" si="2"/>
        <v>4050000</v>
      </c>
      <c r="V12" s="32">
        <f t="shared" si="3"/>
        <v>12026583</v>
      </c>
      <c r="W12" s="32">
        <f t="shared" si="4"/>
        <v>7364619.1972499993</v>
      </c>
      <c r="X12" s="32">
        <f t="shared" si="5"/>
        <v>384122.76449999999</v>
      </c>
      <c r="Y12" s="32">
        <f t="shared" si="6"/>
        <v>4640765.1280899998</v>
      </c>
      <c r="Z12" s="32">
        <f t="shared" si="7"/>
        <v>203909.49797399997</v>
      </c>
      <c r="AA12" s="61">
        <f t="shared" si="8"/>
        <v>28669999.587814003</v>
      </c>
      <c r="AC12" s="2" t="s">
        <v>25</v>
      </c>
      <c r="AD12">
        <f>($E$10)*0.5665</f>
        <v>75.605813023532747</v>
      </c>
      <c r="AE12">
        <f>($E$10)*0.5913</f>
        <v>78.915652675754487</v>
      </c>
      <c r="AF12">
        <f>$E$10/1049.5</f>
        <v>0.12716653291973651</v>
      </c>
      <c r="AH12" s="46">
        <f>9500/($E$10/1049.5)</f>
        <v>74705.189973183427</v>
      </c>
      <c r="AI12">
        <f>24703.2/($E$10/1049.5)</f>
        <v>194258.65778374157</v>
      </c>
      <c r="AJ12">
        <f>13603404/(($E$10)*0.5913)</f>
        <v>172379.03430759331</v>
      </c>
      <c r="AK12">
        <f>10179996/(($E$10)*0.5665)</f>
        <v>134645.6785912932</v>
      </c>
      <c r="AL12">
        <f>989880/(($E$10)*0.5913)</f>
        <v>12543.519142738131</v>
      </c>
      <c r="AM12">
        <f>1296480/(($E$10)*0.5665)</f>
        <v>17147.887816462779</v>
      </c>
      <c r="AN12" s="61">
        <f t="shared" si="9"/>
        <v>605679.96761501231</v>
      </c>
    </row>
    <row r="13" spans="3:40" ht="15">
      <c r="C13" s="2" t="s">
        <v>28</v>
      </c>
      <c r="D13" s="33">
        <v>44179.079558946331</v>
      </c>
      <c r="E13" s="22">
        <v>134.94993812352337</v>
      </c>
      <c r="F13" s="23">
        <f>10119720.2009655*0.729</f>
        <v>7377276.0265038488</v>
      </c>
      <c r="G13" s="23">
        <f>17211219.2582669*0.729</f>
        <v>12546978.839276569</v>
      </c>
      <c r="H13" s="23">
        <f>27330939.4592324*0.729</f>
        <v>19924254.865780421</v>
      </c>
      <c r="I13" s="24">
        <f>(D13*1000/E13)/'Base Geral'!M41</f>
        <v>0.48623451221371083</v>
      </c>
      <c r="J13" s="24">
        <f t="shared" si="0"/>
        <v>0.51376548778628917</v>
      </c>
      <c r="K13" s="45">
        <v>370</v>
      </c>
      <c r="L13" s="34">
        <v>0.56140800000000002</v>
      </c>
      <c r="M13" s="34">
        <v>0.489898</v>
      </c>
      <c r="N13" s="34">
        <f t="shared" si="1"/>
        <v>0.52565300000000004</v>
      </c>
      <c r="O13" s="60">
        <v>9000</v>
      </c>
      <c r="P13" s="84">
        <v>26025.3</v>
      </c>
      <c r="Q13" s="84">
        <v>15204753</v>
      </c>
      <c r="R13" s="84">
        <v>9962514</v>
      </c>
      <c r="S13" s="84">
        <v>707130</v>
      </c>
      <c r="T13" s="84">
        <v>255879</v>
      </c>
      <c r="U13" s="46">
        <f t="shared" si="2"/>
        <v>3330000</v>
      </c>
      <c r="V13" s="32">
        <f t="shared" si="3"/>
        <v>9629361</v>
      </c>
      <c r="W13" s="32">
        <f t="shared" si="4"/>
        <v>7448778.085194</v>
      </c>
      <c r="X13" s="32">
        <f t="shared" si="5"/>
        <v>346421.57273999997</v>
      </c>
      <c r="Y13" s="32">
        <f t="shared" si="6"/>
        <v>5593035.0597120002</v>
      </c>
      <c r="Z13" s="32">
        <f t="shared" si="7"/>
        <v>143652.517632</v>
      </c>
      <c r="AA13" s="62">
        <f t="shared" si="8"/>
        <v>26491248.235277999</v>
      </c>
      <c r="AC13" s="2" t="s">
        <v>26</v>
      </c>
      <c r="AD13">
        <f>($E$11)*0.5665</f>
        <v>76.226341204822745</v>
      </c>
      <c r="AE13">
        <f>($E$11)*0.5913</f>
        <v>79.563346080161864</v>
      </c>
      <c r="AF13">
        <f>$E$11/1049.5</f>
        <v>0.12821024125693906</v>
      </c>
      <c r="AH13" s="46">
        <f>9500/($E$11/1049.5)</f>
        <v>74097.044876170039</v>
      </c>
      <c r="AI13">
        <f>30074.264/($E$11/1049.5)</f>
        <v>234569.90412902998</v>
      </c>
      <c r="AJ13">
        <f>15217708/(($E$11)*0.5913)</f>
        <v>191265.30933814443</v>
      </c>
      <c r="AK13">
        <f>10200036/(($E$11)*0.5665)</f>
        <v>133812.48317549651</v>
      </c>
      <c r="AL13">
        <f>1187120/(($E$11)*0.5913)</f>
        <v>14920.438348632922</v>
      </c>
      <c r="AM13">
        <f>886160/(($E$11)*0.5665)</f>
        <v>11625.377605608253</v>
      </c>
      <c r="AN13" s="61">
        <f t="shared" si="9"/>
        <v>660290.55747308198</v>
      </c>
    </row>
    <row r="14" spans="3:40" ht="15">
      <c r="AC14" s="2" t="s">
        <v>27</v>
      </c>
      <c r="AD14">
        <f>($E$12)*0.5665</f>
        <v>77.762179303087407</v>
      </c>
      <c r="AE14">
        <f>($E$12)*0.5913</f>
        <v>81.166419456161677</v>
      </c>
      <c r="AF14">
        <f>$E$12/1049.5</f>
        <v>0.13079347127949789</v>
      </c>
      <c r="AH14" s="46">
        <f>9000/($E$12/1049.5)</f>
        <v>68810.774054367997</v>
      </c>
      <c r="AI14">
        <f>26725.74/($E$12/1049.5)</f>
        <v>204335.42850842059</v>
      </c>
      <c r="AJ14">
        <f>16595390/(($E$12)*0.5913)</f>
        <v>204461.27981490226</v>
      </c>
      <c r="AK14">
        <f>9257110/(($E$12)*0.5665)</f>
        <v>119043.86017680015</v>
      </c>
      <c r="AL14">
        <f>865580/(($E$12)*0.5913)</f>
        <v>10664.262459766423</v>
      </c>
      <c r="AM14">
        <f>406746/(($E$12)*0.5665)</f>
        <v>5230.6404430186913</v>
      </c>
      <c r="AN14" s="61">
        <f t="shared" si="9"/>
        <v>612546.24545727612</v>
      </c>
    </row>
    <row r="15" spans="3:40" ht="15">
      <c r="AC15" s="2" t="s">
        <v>28</v>
      </c>
      <c r="AD15">
        <f>($E$13)*0.5665</f>
        <v>76.44913994697599</v>
      </c>
      <c r="AE15">
        <f>($E$13)*0.5913</f>
        <v>79.795898412439371</v>
      </c>
      <c r="AF15">
        <f>$E$13/1049.5</f>
        <v>0.12858498153742104</v>
      </c>
      <c r="AH15" s="65">
        <f>9000/($E$13/1049.5)</f>
        <v>69992.621940695331</v>
      </c>
      <c r="AI15">
        <f>26025.3/($E$13/1049.5)</f>
        <v>202397.66486590868</v>
      </c>
      <c r="AJ15">
        <f>15204753/(($E$13)*0.5913)</f>
        <v>190545.54560450607</v>
      </c>
      <c r="AK15">
        <f>9962514/(($E$13)*0.5665)</f>
        <v>130315.57983398969</v>
      </c>
      <c r="AL15">
        <f>707130/(($E$13)*0.5913)</f>
        <v>8861.7336738922604</v>
      </c>
      <c r="AM15">
        <f>255879/(($E$13)*0.5665)</f>
        <v>3347.0487722618454</v>
      </c>
      <c r="AN15" s="62">
        <f t="shared" si="9"/>
        <v>605460.19469125383</v>
      </c>
    </row>
    <row r="16" spans="3:40">
      <c r="G16">
        <v>0.97599999999999998</v>
      </c>
      <c r="L16" s="89" t="s">
        <v>117</v>
      </c>
      <c r="M16" s="89"/>
      <c r="N16" s="85"/>
      <c r="O16" s="85" t="s">
        <v>118</v>
      </c>
      <c r="P16" s="85"/>
      <c r="Q16" s="85"/>
      <c r="R16" s="85"/>
      <c r="S16" s="85"/>
      <c r="T16" s="85"/>
    </row>
    <row r="17" spans="7:30" ht="57.75">
      <c r="G17" s="83">
        <v>0.93400000000000005</v>
      </c>
      <c r="J17" s="31" t="s">
        <v>119</v>
      </c>
      <c r="L17" s="90" t="s">
        <v>120</v>
      </c>
      <c r="M17" s="90"/>
      <c r="N17" s="86"/>
    </row>
    <row r="18" spans="7:30" ht="15">
      <c r="G18" s="83">
        <v>0.88500000000000001</v>
      </c>
      <c r="X18" s="35"/>
      <c r="Y18" s="35"/>
      <c r="Z18" s="35"/>
      <c r="AA18" s="35"/>
      <c r="AB18" s="35"/>
      <c r="AC18" s="35"/>
    </row>
    <row r="19" spans="7:30" ht="15">
      <c r="G19" s="83">
        <v>0.85</v>
      </c>
      <c r="T19" s="39" t="s">
        <v>121</v>
      </c>
      <c r="U19" s="40" t="s">
        <v>122</v>
      </c>
      <c r="V19" s="40" t="s">
        <v>123</v>
      </c>
      <c r="W19" s="40" t="s">
        <v>124</v>
      </c>
      <c r="X19" s="39" t="s">
        <v>125</v>
      </c>
      <c r="Y19" s="39"/>
    </row>
    <row r="20" spans="7:30" ht="15">
      <c r="G20" s="83">
        <v>0.876</v>
      </c>
      <c r="T20" s="42" t="s">
        <v>126</v>
      </c>
      <c r="U20" s="44">
        <v>1022</v>
      </c>
      <c r="V20" s="40">
        <v>614</v>
      </c>
      <c r="W20" s="44">
        <v>1635</v>
      </c>
      <c r="X20" s="41" t="s">
        <v>127</v>
      </c>
      <c r="Y20" s="41"/>
    </row>
    <row r="21" spans="7:30" ht="15">
      <c r="G21" s="83">
        <v>0.83599999999999997</v>
      </c>
      <c r="T21" s="42" t="s">
        <v>128</v>
      </c>
      <c r="U21" s="44">
        <v>1257</v>
      </c>
      <c r="V21" s="40">
        <v>657</v>
      </c>
      <c r="W21" s="44">
        <v>1914</v>
      </c>
      <c r="X21" s="41" t="s">
        <v>127</v>
      </c>
      <c r="Y21" s="41"/>
    </row>
    <row r="22" spans="7:30" ht="15">
      <c r="G22" s="83">
        <v>0.76600000000000001</v>
      </c>
      <c r="T22" s="42" t="s">
        <v>129</v>
      </c>
      <c r="U22" s="44">
        <v>1137</v>
      </c>
      <c r="V22" s="44">
        <v>1565</v>
      </c>
      <c r="W22" s="44">
        <v>2700</v>
      </c>
      <c r="X22" s="41" t="s">
        <v>130</v>
      </c>
      <c r="Y22" s="41"/>
    </row>
    <row r="23" spans="7:30" ht="15">
      <c r="G23" s="83">
        <v>0.72899999999999998</v>
      </c>
      <c r="T23" s="42" t="s">
        <v>131</v>
      </c>
      <c r="U23" s="40">
        <v>616</v>
      </c>
      <c r="V23" s="44">
        <v>1020</v>
      </c>
      <c r="W23" s="44">
        <v>1630</v>
      </c>
      <c r="X23" s="41" t="s">
        <v>127</v>
      </c>
      <c r="Y23" s="41"/>
    </row>
    <row r="24" spans="7:30" ht="57.75">
      <c r="O24" s="31" t="s">
        <v>132</v>
      </c>
      <c r="P24" t="s">
        <v>133</v>
      </c>
      <c r="Q24" s="36" t="s">
        <v>134</v>
      </c>
      <c r="R24" s="36"/>
      <c r="S24" s="36"/>
      <c r="T24" s="42" t="s">
        <v>135</v>
      </c>
      <c r="U24" s="44">
        <v>1480</v>
      </c>
      <c r="V24" s="44">
        <v>1130</v>
      </c>
      <c r="W24" s="44">
        <v>2610</v>
      </c>
      <c r="X24" s="41" t="s">
        <v>127</v>
      </c>
      <c r="Y24" s="41"/>
      <c r="Z24" s="87"/>
      <c r="AA24" s="39" t="s">
        <v>121</v>
      </c>
      <c r="AB24" s="40" t="s">
        <v>136</v>
      </c>
      <c r="AC24" s="40" t="s">
        <v>137</v>
      </c>
      <c r="AD24" s="40" t="s">
        <v>138</v>
      </c>
    </row>
    <row r="25" spans="7:30" ht="15.6">
      <c r="O25" s="53">
        <v>2042771015.5999999</v>
      </c>
      <c r="P25" s="55">
        <f>('Base Geral'!M34*1000)/'Açúcar e Etanol'!O25</f>
        <v>0.30372243793451642</v>
      </c>
      <c r="Q25" s="36">
        <v>171979</v>
      </c>
      <c r="R25" s="36"/>
      <c r="S25" s="36"/>
      <c r="T25" s="42" t="s">
        <v>139</v>
      </c>
      <c r="U25" s="44">
        <v>1060</v>
      </c>
      <c r="V25" s="44">
        <v>1420</v>
      </c>
      <c r="W25" s="44">
        <v>2480</v>
      </c>
      <c r="X25" s="41" t="s">
        <v>127</v>
      </c>
      <c r="Y25" s="41"/>
      <c r="AA25" s="41" t="s">
        <v>126</v>
      </c>
      <c r="AB25" s="43">
        <v>10100000</v>
      </c>
      <c r="AC25" s="43">
        <v>20730000</v>
      </c>
      <c r="AD25" s="43">
        <v>30830000</v>
      </c>
    </row>
    <row r="26" spans="7:30" ht="15.6">
      <c r="O26" s="53">
        <v>2072045104.5999999</v>
      </c>
      <c r="P26" s="55">
        <f>('Base Geral'!M35*1000)/'Açúcar e Etanol'!O26</f>
        <v>0.31018522259633635</v>
      </c>
      <c r="Q26" s="36">
        <v>171456</v>
      </c>
      <c r="R26" s="36"/>
      <c r="S26" s="36"/>
      <c r="T26" s="42" t="s">
        <v>140</v>
      </c>
      <c r="U26" s="40">
        <v>531</v>
      </c>
      <c r="V26" s="44">
        <v>1130</v>
      </c>
      <c r="W26" s="44">
        <v>1670</v>
      </c>
      <c r="X26" s="41" t="s">
        <v>127</v>
      </c>
      <c r="Y26" s="41"/>
      <c r="AA26" s="41" t="s">
        <v>128</v>
      </c>
      <c r="AB26" s="43">
        <v>10305000</v>
      </c>
      <c r="AC26" s="43">
        <v>22544000</v>
      </c>
      <c r="AD26" s="43">
        <v>32849000</v>
      </c>
    </row>
    <row r="27" spans="7:30" ht="15.6">
      <c r="O27" s="53">
        <v>1990827165.9000001</v>
      </c>
      <c r="P27" s="55">
        <f>('Base Geral'!M36*1000)/'Açúcar e Etanol'!O27</f>
        <v>0.32766577238516875</v>
      </c>
      <c r="Q27" s="36">
        <v>171275</v>
      </c>
      <c r="R27" s="36"/>
      <c r="S27" s="36"/>
      <c r="T27" s="42" t="s">
        <v>141</v>
      </c>
      <c r="U27" s="40">
        <v>351</v>
      </c>
      <c r="V27" s="40">
        <v>970</v>
      </c>
      <c r="W27" s="44">
        <v>1322</v>
      </c>
      <c r="X27" s="41" t="s">
        <v>142</v>
      </c>
      <c r="Y27" s="41"/>
      <c r="AA27" s="41" t="s">
        <v>143</v>
      </c>
      <c r="AB27" s="43">
        <v>9670000</v>
      </c>
      <c r="AC27" s="43">
        <v>19258000</v>
      </c>
      <c r="AD27" s="43">
        <v>28928000</v>
      </c>
    </row>
    <row r="28" spans="7:30" ht="15.6">
      <c r="O28" s="53">
        <v>3964534614.3000002</v>
      </c>
      <c r="P28" s="55">
        <f>('Base Geral'!M37*1000)/'Açúcar e Etanol'!O28</f>
        <v>0.1476110432707945</v>
      </c>
      <c r="Q28" s="36">
        <v>174026</v>
      </c>
      <c r="R28" s="36"/>
      <c r="S28" s="36"/>
      <c r="T28" s="38"/>
      <c r="U28" s="29"/>
      <c r="V28" s="29"/>
      <c r="W28" s="29"/>
      <c r="X28" s="29"/>
      <c r="Y28" s="29"/>
      <c r="AA28" s="41" t="s">
        <v>131</v>
      </c>
      <c r="AB28" s="43">
        <v>10616000</v>
      </c>
      <c r="AC28" s="43">
        <v>16792000</v>
      </c>
      <c r="AD28" s="43">
        <v>27408000</v>
      </c>
    </row>
    <row r="29" spans="7:30" ht="15.6">
      <c r="O29" s="53">
        <v>2025064447.3</v>
      </c>
      <c r="P29" s="55">
        <f>('Base Geral'!M38*1000)/'Açúcar e Etanol'!O29</f>
        <v>0.30128985169014377</v>
      </c>
      <c r="Q29" s="36">
        <v>176568</v>
      </c>
      <c r="R29" s="36"/>
      <c r="S29" s="36"/>
      <c r="T29" s="37"/>
      <c r="U29" s="29"/>
      <c r="V29" s="29"/>
      <c r="W29" s="29"/>
      <c r="X29" s="29"/>
      <c r="Y29" s="29"/>
      <c r="AA29" s="41" t="s">
        <v>135</v>
      </c>
      <c r="AB29" s="43">
        <v>11621000</v>
      </c>
      <c r="AC29" s="43">
        <v>15529000</v>
      </c>
      <c r="AD29" s="43">
        <v>27150000</v>
      </c>
    </row>
    <row r="30" spans="7:30" ht="15.6">
      <c r="O30" s="54">
        <v>2122451453</v>
      </c>
      <c r="P30" s="55">
        <f>('Base Geral'!M39*1000)/'Açúcar e Etanol'!O30</f>
        <v>0.33603318722831399</v>
      </c>
      <c r="Q30" s="36">
        <v>177015</v>
      </c>
      <c r="R30" s="36"/>
      <c r="S30" s="36"/>
      <c r="T30" s="29"/>
      <c r="U30" s="29"/>
      <c r="V30" s="29"/>
      <c r="W30" s="29"/>
      <c r="X30" s="29"/>
      <c r="Y30" s="29"/>
      <c r="AA30" s="41" t="s">
        <v>139</v>
      </c>
      <c r="AB30" s="43">
        <v>12201000</v>
      </c>
      <c r="AC30" s="43">
        <v>18203000</v>
      </c>
      <c r="AD30" s="43">
        <v>30404000</v>
      </c>
    </row>
    <row r="31" spans="7:30" ht="15.6">
      <c r="O31" s="53">
        <v>2035253752.7</v>
      </c>
      <c r="P31" s="55">
        <f>('Base Geral'!M40*1000)/'Açúcar e Etanol'!O31</f>
        <v>0.33757886760406491</v>
      </c>
      <c r="Q31" s="36">
        <v>175772</v>
      </c>
      <c r="R31" s="36"/>
      <c r="S31" s="36"/>
      <c r="T31" s="29"/>
      <c r="U31" s="29"/>
      <c r="V31" s="29"/>
      <c r="W31" s="29"/>
      <c r="X31" s="29"/>
      <c r="Y31" s="29"/>
      <c r="AA31" s="41" t="s">
        <v>140</v>
      </c>
      <c r="AB31" s="43">
        <v>12085000</v>
      </c>
      <c r="AC31" s="43">
        <v>21665000</v>
      </c>
      <c r="AD31" s="43">
        <v>33750000</v>
      </c>
    </row>
    <row r="32" spans="7:30">
      <c r="AA32" s="41" t="s">
        <v>141</v>
      </c>
      <c r="AB32" s="43">
        <v>13666000</v>
      </c>
      <c r="AC32" s="43">
        <v>20857000</v>
      </c>
      <c r="AD32" s="43">
        <v>34523000</v>
      </c>
    </row>
    <row r="46" spans="21:23">
      <c r="U46" s="39"/>
      <c r="V46" s="39"/>
      <c r="W46" s="39"/>
    </row>
    <row r="47" spans="21:23">
      <c r="U47" s="42"/>
      <c r="V47" s="42"/>
      <c r="W47" s="41"/>
    </row>
    <row r="48" spans="21:23">
      <c r="U48" s="42"/>
      <c r="V48" s="42"/>
      <c r="W48" s="41"/>
    </row>
    <row r="49" spans="21:23">
      <c r="U49" s="42"/>
      <c r="V49" s="42"/>
      <c r="W49" s="41"/>
    </row>
    <row r="50" spans="21:23">
      <c r="U50" s="42"/>
      <c r="V50" s="42"/>
      <c r="W50" s="41"/>
    </row>
    <row r="51" spans="21:23">
      <c r="U51" s="42"/>
      <c r="V51" s="42"/>
      <c r="W51" s="41"/>
    </row>
    <row r="52" spans="21:23">
      <c r="U52" s="42"/>
      <c r="V52" s="42"/>
      <c r="W52" s="41"/>
    </row>
    <row r="53" spans="21:23">
      <c r="U53" s="42"/>
      <c r="V53" s="42"/>
      <c r="W53" s="41"/>
    </row>
    <row r="54" spans="21:23">
      <c r="U54" s="42"/>
      <c r="V54" s="42"/>
      <c r="W54" s="41"/>
    </row>
  </sheetData>
  <mergeCells count="3">
    <mergeCell ref="L16:M16"/>
    <mergeCell ref="L17:M17"/>
    <mergeCell ref="AD6:AF6"/>
  </mergeCells>
  <hyperlinks>
    <hyperlink ref="L16" r:id="rId1" xr:uid="{F38B4938-3701-4D5B-BEC5-F93C88EC6D5F}"/>
    <hyperlink ref="AF5" r:id="rId2" xr:uid="{D23EF9F7-21F3-49F7-A52D-6BB45FD488E0}"/>
  </hyperlinks>
  <pageMargins left="0.7" right="0.7" top="0.75" bottom="0.75" header="0.3" footer="0.3"/>
  <ignoredErrors>
    <ignoredError sqref="V13 V6:V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Haug</dc:creator>
  <cp:keywords/>
  <dc:description/>
  <cp:lastModifiedBy/>
  <cp:revision/>
  <dcterms:created xsi:type="dcterms:W3CDTF">2026-04-29T13:26:44Z</dcterms:created>
  <dcterms:modified xsi:type="dcterms:W3CDTF">2026-05-01T03:54:24Z</dcterms:modified>
  <cp:category/>
  <cp:contentStatus/>
</cp:coreProperties>
</file>